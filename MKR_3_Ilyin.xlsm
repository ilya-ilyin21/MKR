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111\Downloads\"/>
    </mc:Choice>
  </mc:AlternateContent>
  <bookViews>
    <workbookView xWindow="0" yWindow="0" windowWidth="13212" windowHeight="5772"/>
  </bookViews>
  <sheets>
    <sheet name="Неявная_2D" sheetId="3" r:id="rId1"/>
    <sheet name="Неявная_1D" sheetId="1" r:id="rId2"/>
  </sheet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N74" i="3" l="1"/>
  <c r="BR74" i="3"/>
  <c r="AO40" i="3" l="1"/>
  <c r="AN40" i="3"/>
  <c r="AP40" i="3"/>
  <c r="AQ40" i="3"/>
  <c r="AR40" i="3"/>
  <c r="AS40" i="3"/>
  <c r="AT40" i="3"/>
  <c r="AU40" i="3"/>
  <c r="AV40" i="3"/>
  <c r="AW40" i="3"/>
  <c r="AX40" i="3"/>
  <c r="AY40" i="3"/>
  <c r="AZ40" i="3"/>
  <c r="BA40" i="3"/>
  <c r="BB40" i="3"/>
  <c r="BC40" i="3"/>
  <c r="BD40" i="3"/>
  <c r="BE40" i="3"/>
  <c r="BF40" i="3"/>
  <c r="BG40" i="3"/>
  <c r="BH40" i="3"/>
  <c r="BI40" i="3"/>
  <c r="BJ40" i="3"/>
  <c r="BK40" i="3"/>
  <c r="BL40" i="3"/>
  <c r="BM40" i="3"/>
  <c r="BN40" i="3"/>
  <c r="BO40" i="3"/>
  <c r="BP40" i="3"/>
  <c r="BQ40" i="3"/>
  <c r="AO41" i="3"/>
  <c r="AP41" i="3"/>
  <c r="AQ41" i="3"/>
  <c r="AR41" i="3"/>
  <c r="AS41" i="3"/>
  <c r="AT41" i="3"/>
  <c r="AU41" i="3"/>
  <c r="AV41" i="3"/>
  <c r="AW41" i="3"/>
  <c r="AX41" i="3"/>
  <c r="AY41" i="3"/>
  <c r="AZ41" i="3"/>
  <c r="BA41" i="3"/>
  <c r="BB41" i="3"/>
  <c r="BC41" i="3"/>
  <c r="BD41" i="3"/>
  <c r="BE41" i="3"/>
  <c r="BF41" i="3"/>
  <c r="BG41" i="3"/>
  <c r="BH41" i="3"/>
  <c r="BI41" i="3"/>
  <c r="BJ41" i="3"/>
  <c r="BK41" i="3"/>
  <c r="BL41" i="3"/>
  <c r="BM41" i="3"/>
  <c r="BN41" i="3"/>
  <c r="BO41" i="3"/>
  <c r="BP41" i="3"/>
  <c r="BQ41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AZ42" i="3"/>
  <c r="BA42" i="3"/>
  <c r="BB42" i="3"/>
  <c r="BC42" i="3"/>
  <c r="BD42" i="3"/>
  <c r="BE42" i="3"/>
  <c r="BF42" i="3"/>
  <c r="BG42" i="3"/>
  <c r="BH42" i="3"/>
  <c r="BI42" i="3"/>
  <c r="BJ42" i="3"/>
  <c r="BK42" i="3"/>
  <c r="BL42" i="3"/>
  <c r="BM42" i="3"/>
  <c r="BN42" i="3"/>
  <c r="BO42" i="3"/>
  <c r="BP42" i="3"/>
  <c r="BQ42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AZ43" i="3"/>
  <c r="BA43" i="3"/>
  <c r="BB43" i="3"/>
  <c r="BC43" i="3"/>
  <c r="BD43" i="3"/>
  <c r="BE43" i="3"/>
  <c r="BF43" i="3"/>
  <c r="BG43" i="3"/>
  <c r="BH43" i="3"/>
  <c r="BI43" i="3"/>
  <c r="BJ43" i="3"/>
  <c r="BK43" i="3"/>
  <c r="BL43" i="3"/>
  <c r="BM43" i="3"/>
  <c r="BN43" i="3"/>
  <c r="BO43" i="3"/>
  <c r="BP43" i="3"/>
  <c r="BQ43" i="3"/>
  <c r="AO44" i="3"/>
  <c r="AP44" i="3"/>
  <c r="AQ44" i="3"/>
  <c r="AR44" i="3"/>
  <c r="AS44" i="3"/>
  <c r="AT44" i="3"/>
  <c r="AU44" i="3"/>
  <c r="AV44" i="3"/>
  <c r="AW44" i="3"/>
  <c r="AX44" i="3"/>
  <c r="AY44" i="3"/>
  <c r="AZ44" i="3"/>
  <c r="BA44" i="3"/>
  <c r="BB44" i="3"/>
  <c r="BC44" i="3"/>
  <c r="BD44" i="3"/>
  <c r="BE44" i="3"/>
  <c r="BF44" i="3"/>
  <c r="BG44" i="3"/>
  <c r="BH44" i="3"/>
  <c r="BI44" i="3"/>
  <c r="BJ44" i="3"/>
  <c r="BK44" i="3"/>
  <c r="BL44" i="3"/>
  <c r="BM44" i="3"/>
  <c r="BN44" i="3"/>
  <c r="BO44" i="3"/>
  <c r="BP44" i="3"/>
  <c r="BQ44" i="3"/>
  <c r="AO45" i="3"/>
  <c r="AP45" i="3"/>
  <c r="AQ45" i="3"/>
  <c r="AR45" i="3"/>
  <c r="AS45" i="3"/>
  <c r="AT45" i="3"/>
  <c r="AU45" i="3"/>
  <c r="AV45" i="3"/>
  <c r="AW45" i="3"/>
  <c r="AX45" i="3"/>
  <c r="AY45" i="3"/>
  <c r="AZ45" i="3"/>
  <c r="BA45" i="3"/>
  <c r="BB45" i="3"/>
  <c r="BC45" i="3"/>
  <c r="BD45" i="3"/>
  <c r="BE45" i="3"/>
  <c r="BF45" i="3"/>
  <c r="BG45" i="3"/>
  <c r="BH45" i="3"/>
  <c r="BI45" i="3"/>
  <c r="BJ45" i="3"/>
  <c r="BK45" i="3"/>
  <c r="BL45" i="3"/>
  <c r="BM45" i="3"/>
  <c r="BN45" i="3"/>
  <c r="BO45" i="3"/>
  <c r="BP45" i="3"/>
  <c r="BQ45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AZ46" i="3"/>
  <c r="BA46" i="3"/>
  <c r="BB46" i="3"/>
  <c r="BC46" i="3"/>
  <c r="BD46" i="3"/>
  <c r="BE46" i="3"/>
  <c r="BF46" i="3"/>
  <c r="BG46" i="3"/>
  <c r="BH46" i="3"/>
  <c r="BI46" i="3"/>
  <c r="BJ46" i="3"/>
  <c r="BK46" i="3"/>
  <c r="BL46" i="3"/>
  <c r="BM46" i="3"/>
  <c r="BN46" i="3"/>
  <c r="BO46" i="3"/>
  <c r="BP46" i="3"/>
  <c r="BQ46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AZ47" i="3"/>
  <c r="BA47" i="3"/>
  <c r="BB47" i="3"/>
  <c r="BC47" i="3"/>
  <c r="BD47" i="3"/>
  <c r="BE47" i="3"/>
  <c r="BF47" i="3"/>
  <c r="BG47" i="3"/>
  <c r="BH47" i="3"/>
  <c r="BI47" i="3"/>
  <c r="BJ47" i="3"/>
  <c r="BK47" i="3"/>
  <c r="BL47" i="3"/>
  <c r="BM47" i="3"/>
  <c r="BN47" i="3"/>
  <c r="BO47" i="3"/>
  <c r="BP47" i="3"/>
  <c r="BQ47" i="3"/>
  <c r="AO48" i="3"/>
  <c r="AP48" i="3"/>
  <c r="AQ48" i="3"/>
  <c r="AR48" i="3"/>
  <c r="AS48" i="3"/>
  <c r="AT48" i="3"/>
  <c r="AU48" i="3"/>
  <c r="AV48" i="3"/>
  <c r="AW48" i="3"/>
  <c r="AX48" i="3"/>
  <c r="AY48" i="3"/>
  <c r="AZ48" i="3"/>
  <c r="BA48" i="3"/>
  <c r="BB48" i="3"/>
  <c r="BC48" i="3"/>
  <c r="BD48" i="3"/>
  <c r="BE48" i="3"/>
  <c r="BF48" i="3"/>
  <c r="BG48" i="3"/>
  <c r="BH48" i="3"/>
  <c r="BI48" i="3"/>
  <c r="BJ48" i="3"/>
  <c r="BK48" i="3"/>
  <c r="BL48" i="3"/>
  <c r="BM48" i="3"/>
  <c r="BN48" i="3"/>
  <c r="BO48" i="3"/>
  <c r="BP48" i="3"/>
  <c r="BQ48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BC49" i="3"/>
  <c r="BD49" i="3"/>
  <c r="BE49" i="3"/>
  <c r="BF49" i="3"/>
  <c r="BG49" i="3"/>
  <c r="BH49" i="3"/>
  <c r="BI49" i="3"/>
  <c r="BJ49" i="3"/>
  <c r="BK49" i="3"/>
  <c r="BL49" i="3"/>
  <c r="BM49" i="3"/>
  <c r="BN49" i="3"/>
  <c r="BO49" i="3"/>
  <c r="BP49" i="3"/>
  <c r="BQ49" i="3"/>
  <c r="AN50" i="3"/>
  <c r="AO50" i="3"/>
  <c r="AP50" i="3"/>
  <c r="AQ50" i="3"/>
  <c r="AR50" i="3"/>
  <c r="AS50" i="3"/>
  <c r="AT50" i="3"/>
  <c r="AU50" i="3"/>
  <c r="AV50" i="3"/>
  <c r="AW50" i="3"/>
  <c r="AX50" i="3"/>
  <c r="AY50" i="3"/>
  <c r="AZ50" i="3"/>
  <c r="BA50" i="3"/>
  <c r="BB50" i="3"/>
  <c r="BC50" i="3"/>
  <c r="BD50" i="3"/>
  <c r="BE50" i="3"/>
  <c r="BF50" i="3"/>
  <c r="BG50" i="3"/>
  <c r="BH50" i="3"/>
  <c r="BI50" i="3"/>
  <c r="BJ50" i="3"/>
  <c r="BK50" i="3"/>
  <c r="BL50" i="3"/>
  <c r="BM50" i="3"/>
  <c r="BN50" i="3"/>
  <c r="BO50" i="3"/>
  <c r="BP50" i="3"/>
  <c r="BQ50" i="3"/>
  <c r="AN51" i="3"/>
  <c r="AO51" i="3"/>
  <c r="AP51" i="3"/>
  <c r="AQ51" i="3"/>
  <c r="AR51" i="3"/>
  <c r="AS51" i="3"/>
  <c r="AT51" i="3"/>
  <c r="AU51" i="3"/>
  <c r="AV51" i="3"/>
  <c r="AW51" i="3"/>
  <c r="AX51" i="3"/>
  <c r="AY51" i="3"/>
  <c r="AZ51" i="3"/>
  <c r="BA51" i="3"/>
  <c r="BB51" i="3"/>
  <c r="BC51" i="3"/>
  <c r="BD51" i="3"/>
  <c r="BE51" i="3"/>
  <c r="BF51" i="3"/>
  <c r="BG51" i="3"/>
  <c r="BH51" i="3"/>
  <c r="BI51" i="3"/>
  <c r="BJ51" i="3"/>
  <c r="BK51" i="3"/>
  <c r="BL51" i="3"/>
  <c r="BM51" i="3"/>
  <c r="BN51" i="3"/>
  <c r="BO51" i="3"/>
  <c r="BP51" i="3"/>
  <c r="BQ51" i="3"/>
  <c r="AN52" i="3"/>
  <c r="AO52" i="3"/>
  <c r="AP52" i="3"/>
  <c r="AQ52" i="3"/>
  <c r="AR52" i="3"/>
  <c r="AS52" i="3"/>
  <c r="AT52" i="3"/>
  <c r="AU52" i="3"/>
  <c r="AV52" i="3"/>
  <c r="AW52" i="3"/>
  <c r="AX52" i="3"/>
  <c r="AY52" i="3"/>
  <c r="AZ52" i="3"/>
  <c r="BA52" i="3"/>
  <c r="BB52" i="3"/>
  <c r="BC52" i="3"/>
  <c r="BD52" i="3"/>
  <c r="BE52" i="3"/>
  <c r="BF52" i="3"/>
  <c r="BG52" i="3"/>
  <c r="BH52" i="3"/>
  <c r="BI52" i="3"/>
  <c r="BJ52" i="3"/>
  <c r="BK52" i="3"/>
  <c r="BL52" i="3"/>
  <c r="BM52" i="3"/>
  <c r="BN52" i="3"/>
  <c r="BO52" i="3"/>
  <c r="BP52" i="3"/>
  <c r="BQ52" i="3"/>
  <c r="AN53" i="3"/>
  <c r="AO53" i="3"/>
  <c r="AP53" i="3"/>
  <c r="AQ53" i="3"/>
  <c r="AR53" i="3"/>
  <c r="AS53" i="3"/>
  <c r="AT53" i="3"/>
  <c r="AU53" i="3"/>
  <c r="AV53" i="3"/>
  <c r="AW53" i="3"/>
  <c r="AX53" i="3"/>
  <c r="AY53" i="3"/>
  <c r="AZ53" i="3"/>
  <c r="BA53" i="3"/>
  <c r="BB53" i="3"/>
  <c r="BC53" i="3"/>
  <c r="BD53" i="3"/>
  <c r="BE53" i="3"/>
  <c r="BF53" i="3"/>
  <c r="BG53" i="3"/>
  <c r="BH53" i="3"/>
  <c r="BI53" i="3"/>
  <c r="BJ53" i="3"/>
  <c r="BK53" i="3"/>
  <c r="BL53" i="3"/>
  <c r="BM53" i="3"/>
  <c r="BN53" i="3"/>
  <c r="BO53" i="3"/>
  <c r="BP53" i="3"/>
  <c r="BQ53" i="3"/>
  <c r="AN54" i="3"/>
  <c r="AO54" i="3"/>
  <c r="AP54" i="3"/>
  <c r="AQ54" i="3"/>
  <c r="AR54" i="3"/>
  <c r="AS54" i="3"/>
  <c r="AT54" i="3"/>
  <c r="AU54" i="3"/>
  <c r="AV54" i="3"/>
  <c r="AW54" i="3"/>
  <c r="AX54" i="3"/>
  <c r="AY54" i="3"/>
  <c r="AZ54" i="3"/>
  <c r="BA54" i="3"/>
  <c r="BB54" i="3"/>
  <c r="BC54" i="3"/>
  <c r="BD54" i="3"/>
  <c r="BE54" i="3"/>
  <c r="BF54" i="3"/>
  <c r="BG54" i="3"/>
  <c r="BH54" i="3"/>
  <c r="BI54" i="3"/>
  <c r="BJ54" i="3"/>
  <c r="BK54" i="3"/>
  <c r="BL54" i="3"/>
  <c r="BM54" i="3"/>
  <c r="BN54" i="3"/>
  <c r="BO54" i="3"/>
  <c r="BP54" i="3"/>
  <c r="BQ54" i="3"/>
  <c r="AN55" i="3"/>
  <c r="AO55" i="3"/>
  <c r="AP55" i="3"/>
  <c r="AQ55" i="3"/>
  <c r="AR55" i="3"/>
  <c r="AS55" i="3"/>
  <c r="AT55" i="3"/>
  <c r="AU55" i="3"/>
  <c r="AV55" i="3"/>
  <c r="AW55" i="3"/>
  <c r="AX55" i="3"/>
  <c r="AY55" i="3"/>
  <c r="AZ55" i="3"/>
  <c r="BA55" i="3"/>
  <c r="BB55" i="3"/>
  <c r="BC55" i="3"/>
  <c r="BD55" i="3"/>
  <c r="BE55" i="3"/>
  <c r="BF55" i="3"/>
  <c r="BG55" i="3"/>
  <c r="BH55" i="3"/>
  <c r="BI55" i="3"/>
  <c r="BJ55" i="3"/>
  <c r="BK55" i="3"/>
  <c r="BL55" i="3"/>
  <c r="BM55" i="3"/>
  <c r="BN55" i="3"/>
  <c r="BO55" i="3"/>
  <c r="BP55" i="3"/>
  <c r="BQ55" i="3"/>
  <c r="AO56" i="3"/>
  <c r="AP56" i="3"/>
  <c r="AQ56" i="3"/>
  <c r="AR56" i="3"/>
  <c r="AS56" i="3"/>
  <c r="AT56" i="3"/>
  <c r="AU56" i="3"/>
  <c r="AV56" i="3"/>
  <c r="AW56" i="3"/>
  <c r="AX56" i="3"/>
  <c r="AY56" i="3"/>
  <c r="AZ56" i="3"/>
  <c r="BA56" i="3"/>
  <c r="BB56" i="3"/>
  <c r="BC56" i="3"/>
  <c r="BD56" i="3"/>
  <c r="BE56" i="3"/>
  <c r="BF56" i="3"/>
  <c r="BG56" i="3"/>
  <c r="BH56" i="3"/>
  <c r="BI56" i="3"/>
  <c r="BJ56" i="3"/>
  <c r="BK56" i="3"/>
  <c r="BL56" i="3"/>
  <c r="BM56" i="3"/>
  <c r="BN56" i="3"/>
  <c r="BO56" i="3"/>
  <c r="BP56" i="3"/>
  <c r="BQ56" i="3"/>
  <c r="AO57" i="3"/>
  <c r="AP57" i="3"/>
  <c r="AQ57" i="3"/>
  <c r="AR57" i="3"/>
  <c r="AS57" i="3"/>
  <c r="AT57" i="3"/>
  <c r="AU57" i="3"/>
  <c r="AV57" i="3"/>
  <c r="AW57" i="3"/>
  <c r="AX57" i="3"/>
  <c r="AY57" i="3"/>
  <c r="AZ57" i="3"/>
  <c r="BA57" i="3"/>
  <c r="BB57" i="3"/>
  <c r="BC57" i="3"/>
  <c r="BD57" i="3"/>
  <c r="BE57" i="3"/>
  <c r="BF57" i="3"/>
  <c r="BG57" i="3"/>
  <c r="BH57" i="3"/>
  <c r="BI57" i="3"/>
  <c r="BJ57" i="3"/>
  <c r="BK57" i="3"/>
  <c r="BL57" i="3"/>
  <c r="BM57" i="3"/>
  <c r="BN57" i="3"/>
  <c r="BO57" i="3"/>
  <c r="BP57" i="3"/>
  <c r="BQ57" i="3"/>
  <c r="AO58" i="3"/>
  <c r="AP58" i="3"/>
  <c r="AQ58" i="3"/>
  <c r="AR58" i="3"/>
  <c r="AS58" i="3"/>
  <c r="AT58" i="3"/>
  <c r="AU58" i="3"/>
  <c r="AV58" i="3"/>
  <c r="AW58" i="3"/>
  <c r="AX58" i="3"/>
  <c r="AY58" i="3"/>
  <c r="AZ58" i="3"/>
  <c r="BA58" i="3"/>
  <c r="BB58" i="3"/>
  <c r="BC58" i="3"/>
  <c r="BD58" i="3"/>
  <c r="BE58" i="3"/>
  <c r="BF58" i="3"/>
  <c r="BG58" i="3"/>
  <c r="BH58" i="3"/>
  <c r="BI58" i="3"/>
  <c r="BJ58" i="3"/>
  <c r="BK58" i="3"/>
  <c r="BL58" i="3"/>
  <c r="BM58" i="3"/>
  <c r="BN58" i="3"/>
  <c r="BO58" i="3"/>
  <c r="BP58" i="3"/>
  <c r="BQ58" i="3"/>
  <c r="AO59" i="3"/>
  <c r="AP59" i="3"/>
  <c r="AQ59" i="3"/>
  <c r="AR59" i="3"/>
  <c r="AS59" i="3"/>
  <c r="AT59" i="3"/>
  <c r="AU59" i="3"/>
  <c r="AV59" i="3"/>
  <c r="AW59" i="3"/>
  <c r="AX59" i="3"/>
  <c r="AY59" i="3"/>
  <c r="AZ59" i="3"/>
  <c r="BA59" i="3"/>
  <c r="BB59" i="3"/>
  <c r="BC59" i="3"/>
  <c r="BD59" i="3"/>
  <c r="BE59" i="3"/>
  <c r="BF59" i="3"/>
  <c r="BG59" i="3"/>
  <c r="BH59" i="3"/>
  <c r="BI59" i="3"/>
  <c r="BJ59" i="3"/>
  <c r="BK59" i="3"/>
  <c r="BL59" i="3"/>
  <c r="BM59" i="3"/>
  <c r="BN59" i="3"/>
  <c r="BO59" i="3"/>
  <c r="BP59" i="3"/>
  <c r="BQ59" i="3"/>
  <c r="AO60" i="3"/>
  <c r="AP60" i="3"/>
  <c r="AQ60" i="3"/>
  <c r="AR60" i="3"/>
  <c r="AS60" i="3"/>
  <c r="AT60" i="3"/>
  <c r="AU60" i="3"/>
  <c r="AV60" i="3"/>
  <c r="AW60" i="3"/>
  <c r="AX60" i="3"/>
  <c r="AY60" i="3"/>
  <c r="AZ60" i="3"/>
  <c r="BA60" i="3"/>
  <c r="BB60" i="3"/>
  <c r="BC60" i="3"/>
  <c r="BD60" i="3"/>
  <c r="BE60" i="3"/>
  <c r="BF60" i="3"/>
  <c r="BG60" i="3"/>
  <c r="BH60" i="3"/>
  <c r="BI60" i="3"/>
  <c r="BJ60" i="3"/>
  <c r="BK60" i="3"/>
  <c r="BL60" i="3"/>
  <c r="BM60" i="3"/>
  <c r="BN60" i="3"/>
  <c r="BO60" i="3"/>
  <c r="BP60" i="3"/>
  <c r="BQ60" i="3"/>
  <c r="AO61" i="3"/>
  <c r="AP61" i="3"/>
  <c r="AQ61" i="3"/>
  <c r="AR61" i="3"/>
  <c r="AS61" i="3"/>
  <c r="AT61" i="3"/>
  <c r="AU61" i="3"/>
  <c r="AV61" i="3"/>
  <c r="AW61" i="3"/>
  <c r="AX61" i="3"/>
  <c r="AY61" i="3"/>
  <c r="AZ61" i="3"/>
  <c r="BA61" i="3"/>
  <c r="BB61" i="3"/>
  <c r="BC61" i="3"/>
  <c r="BD61" i="3"/>
  <c r="BE61" i="3"/>
  <c r="BF61" i="3"/>
  <c r="BG61" i="3"/>
  <c r="BH61" i="3"/>
  <c r="BI61" i="3"/>
  <c r="BJ61" i="3"/>
  <c r="BK61" i="3"/>
  <c r="BL61" i="3"/>
  <c r="BM61" i="3"/>
  <c r="BN61" i="3"/>
  <c r="BO61" i="3"/>
  <c r="BP61" i="3"/>
  <c r="BQ61" i="3"/>
  <c r="AO62" i="3"/>
  <c r="AP62" i="3"/>
  <c r="AQ62" i="3"/>
  <c r="AR62" i="3"/>
  <c r="AS62" i="3"/>
  <c r="AT62" i="3"/>
  <c r="AU62" i="3"/>
  <c r="AV62" i="3"/>
  <c r="AW62" i="3"/>
  <c r="AX62" i="3"/>
  <c r="AY62" i="3"/>
  <c r="AZ62" i="3"/>
  <c r="BA62" i="3"/>
  <c r="BB62" i="3"/>
  <c r="BC62" i="3"/>
  <c r="BD62" i="3"/>
  <c r="BE62" i="3"/>
  <c r="BF62" i="3"/>
  <c r="BG62" i="3"/>
  <c r="BH62" i="3"/>
  <c r="BI62" i="3"/>
  <c r="BJ62" i="3"/>
  <c r="BK62" i="3"/>
  <c r="BL62" i="3"/>
  <c r="BM62" i="3"/>
  <c r="BN62" i="3"/>
  <c r="BO62" i="3"/>
  <c r="BP62" i="3"/>
  <c r="BQ62" i="3"/>
  <c r="AN63" i="3"/>
  <c r="AO63" i="3"/>
  <c r="AP63" i="3"/>
  <c r="AQ63" i="3"/>
  <c r="AR63" i="3"/>
  <c r="AS63" i="3"/>
  <c r="AT63" i="3"/>
  <c r="AU63" i="3"/>
  <c r="AV63" i="3"/>
  <c r="AW63" i="3"/>
  <c r="AX63" i="3"/>
  <c r="AY63" i="3"/>
  <c r="AZ63" i="3"/>
  <c r="BA63" i="3"/>
  <c r="BB63" i="3"/>
  <c r="BC63" i="3"/>
  <c r="BD63" i="3"/>
  <c r="BE63" i="3"/>
  <c r="BF63" i="3"/>
  <c r="BG63" i="3"/>
  <c r="BH63" i="3"/>
  <c r="BI63" i="3"/>
  <c r="BJ63" i="3"/>
  <c r="BK63" i="3"/>
  <c r="BL63" i="3"/>
  <c r="BM63" i="3"/>
  <c r="BN63" i="3"/>
  <c r="BO63" i="3"/>
  <c r="BP63" i="3"/>
  <c r="BQ63" i="3"/>
  <c r="AO64" i="3"/>
  <c r="AP64" i="3"/>
  <c r="AQ64" i="3"/>
  <c r="AR64" i="3"/>
  <c r="AS64" i="3"/>
  <c r="AT64" i="3"/>
  <c r="AU64" i="3"/>
  <c r="AV64" i="3"/>
  <c r="AW64" i="3"/>
  <c r="AX64" i="3"/>
  <c r="AY64" i="3"/>
  <c r="AZ64" i="3"/>
  <c r="BA64" i="3"/>
  <c r="BB64" i="3"/>
  <c r="BC64" i="3"/>
  <c r="BD64" i="3"/>
  <c r="BE64" i="3"/>
  <c r="BF64" i="3"/>
  <c r="BG64" i="3"/>
  <c r="BH64" i="3"/>
  <c r="BI64" i="3"/>
  <c r="BJ64" i="3"/>
  <c r="BK64" i="3"/>
  <c r="BL64" i="3"/>
  <c r="BM64" i="3"/>
  <c r="BN64" i="3"/>
  <c r="BO64" i="3"/>
  <c r="BP64" i="3"/>
  <c r="BQ64" i="3"/>
  <c r="AO65" i="3"/>
  <c r="AP65" i="3"/>
  <c r="AQ65" i="3"/>
  <c r="AR65" i="3"/>
  <c r="AS65" i="3"/>
  <c r="AT65" i="3"/>
  <c r="AU65" i="3"/>
  <c r="AV65" i="3"/>
  <c r="AW65" i="3"/>
  <c r="AX65" i="3"/>
  <c r="AY65" i="3"/>
  <c r="AZ65" i="3"/>
  <c r="BA65" i="3"/>
  <c r="BB65" i="3"/>
  <c r="BC65" i="3"/>
  <c r="BD65" i="3"/>
  <c r="BE65" i="3"/>
  <c r="BF65" i="3"/>
  <c r="BG65" i="3"/>
  <c r="BH65" i="3"/>
  <c r="BI65" i="3"/>
  <c r="BJ65" i="3"/>
  <c r="BK65" i="3"/>
  <c r="BL65" i="3"/>
  <c r="BM65" i="3"/>
  <c r="BN65" i="3"/>
  <c r="BO65" i="3"/>
  <c r="BP65" i="3"/>
  <c r="BQ65" i="3"/>
  <c r="AO66" i="3"/>
  <c r="AP66" i="3"/>
  <c r="AQ66" i="3"/>
  <c r="AR66" i="3"/>
  <c r="AS66" i="3"/>
  <c r="AT66" i="3"/>
  <c r="AU66" i="3"/>
  <c r="AV66" i="3"/>
  <c r="AW66" i="3"/>
  <c r="AX66" i="3"/>
  <c r="AY66" i="3"/>
  <c r="AZ66" i="3"/>
  <c r="BA66" i="3"/>
  <c r="BB66" i="3"/>
  <c r="BC66" i="3"/>
  <c r="BD66" i="3"/>
  <c r="BE66" i="3"/>
  <c r="BF66" i="3"/>
  <c r="BG66" i="3"/>
  <c r="BH66" i="3"/>
  <c r="BI66" i="3"/>
  <c r="BJ66" i="3"/>
  <c r="BK66" i="3"/>
  <c r="BL66" i="3"/>
  <c r="BM66" i="3"/>
  <c r="BN66" i="3"/>
  <c r="BO66" i="3"/>
  <c r="BP66" i="3"/>
  <c r="BQ66" i="3"/>
  <c r="AO67" i="3"/>
  <c r="AP67" i="3"/>
  <c r="AQ67" i="3"/>
  <c r="AR67" i="3"/>
  <c r="AS67" i="3"/>
  <c r="AT67" i="3"/>
  <c r="AU67" i="3"/>
  <c r="AV67" i="3"/>
  <c r="AW67" i="3"/>
  <c r="AX67" i="3"/>
  <c r="AY67" i="3"/>
  <c r="AZ67" i="3"/>
  <c r="BA67" i="3"/>
  <c r="BB67" i="3"/>
  <c r="BC67" i="3"/>
  <c r="BD67" i="3"/>
  <c r="BE67" i="3"/>
  <c r="BF67" i="3"/>
  <c r="BG67" i="3"/>
  <c r="BH67" i="3"/>
  <c r="BI67" i="3"/>
  <c r="BJ67" i="3"/>
  <c r="BK67" i="3"/>
  <c r="BL67" i="3"/>
  <c r="BM67" i="3"/>
  <c r="BN67" i="3"/>
  <c r="BO67" i="3"/>
  <c r="BP67" i="3"/>
  <c r="BQ67" i="3"/>
  <c r="AO68" i="3"/>
  <c r="AP68" i="3"/>
  <c r="AQ68" i="3"/>
  <c r="AR68" i="3"/>
  <c r="AS68" i="3"/>
  <c r="AT68" i="3"/>
  <c r="AU68" i="3"/>
  <c r="AV68" i="3"/>
  <c r="AW68" i="3"/>
  <c r="AX68" i="3"/>
  <c r="AY68" i="3"/>
  <c r="AZ68" i="3"/>
  <c r="BA68" i="3"/>
  <c r="BB68" i="3"/>
  <c r="BC68" i="3"/>
  <c r="BD68" i="3"/>
  <c r="BE68" i="3"/>
  <c r="BF68" i="3"/>
  <c r="BG68" i="3"/>
  <c r="BH68" i="3"/>
  <c r="BI68" i="3"/>
  <c r="BJ68" i="3"/>
  <c r="BK68" i="3"/>
  <c r="BL68" i="3"/>
  <c r="BM68" i="3"/>
  <c r="BN68" i="3"/>
  <c r="BO68" i="3"/>
  <c r="BP68" i="3"/>
  <c r="BQ68" i="3"/>
  <c r="AO69" i="3"/>
  <c r="AP69" i="3"/>
  <c r="AQ69" i="3"/>
  <c r="AR69" i="3"/>
  <c r="AS69" i="3"/>
  <c r="AT69" i="3"/>
  <c r="AU69" i="3"/>
  <c r="AV69" i="3"/>
  <c r="AW69" i="3"/>
  <c r="AX69" i="3"/>
  <c r="AY69" i="3"/>
  <c r="AZ69" i="3"/>
  <c r="BA69" i="3"/>
  <c r="BB69" i="3"/>
  <c r="BC69" i="3"/>
  <c r="BD69" i="3"/>
  <c r="BE69" i="3"/>
  <c r="BF69" i="3"/>
  <c r="BG69" i="3"/>
  <c r="BH69" i="3"/>
  <c r="BI69" i="3"/>
  <c r="BJ69" i="3"/>
  <c r="BK69" i="3"/>
  <c r="BL69" i="3"/>
  <c r="BM69" i="3"/>
  <c r="BN69" i="3"/>
  <c r="BO69" i="3"/>
  <c r="BP69" i="3"/>
  <c r="BQ69" i="3"/>
  <c r="AO39" i="3"/>
  <c r="AP39" i="3"/>
  <c r="AQ39" i="3"/>
  <c r="AR39" i="3"/>
  <c r="AS39" i="3"/>
  <c r="AT39" i="3"/>
  <c r="AU39" i="3"/>
  <c r="AV39" i="3"/>
  <c r="AW39" i="3"/>
  <c r="AX39" i="3"/>
  <c r="AY39" i="3"/>
  <c r="AZ39" i="3"/>
  <c r="BA39" i="3"/>
  <c r="BB39" i="3"/>
  <c r="BC39" i="3"/>
  <c r="BD39" i="3"/>
  <c r="BE39" i="3"/>
  <c r="BF39" i="3"/>
  <c r="BG39" i="3"/>
  <c r="BH39" i="3"/>
  <c r="BI39" i="3"/>
  <c r="BJ39" i="3"/>
  <c r="BK39" i="3"/>
  <c r="BL39" i="3"/>
  <c r="BM39" i="3"/>
  <c r="BN39" i="3"/>
  <c r="BO39" i="3"/>
  <c r="BP39" i="3"/>
  <c r="BQ39" i="3"/>
  <c r="AN75" i="3"/>
  <c r="AN79" i="3"/>
  <c r="BR80" i="3"/>
  <c r="AN83" i="3"/>
  <c r="AN87" i="3"/>
  <c r="BR88" i="3"/>
  <c r="AN91" i="3"/>
  <c r="AN95" i="3"/>
  <c r="BR96" i="3"/>
  <c r="AN97" i="3"/>
  <c r="AN99" i="3"/>
  <c r="AN103" i="3"/>
  <c r="BR104" i="3"/>
  <c r="DD40" i="3"/>
  <c r="DD41" i="3"/>
  <c r="DD42" i="3"/>
  <c r="DD43" i="3"/>
  <c r="DD46" i="3"/>
  <c r="DD48" i="3"/>
  <c r="DD50" i="3"/>
  <c r="DD51" i="3"/>
  <c r="DD52" i="3"/>
  <c r="DD53" i="3"/>
  <c r="DD54" i="3"/>
  <c r="DD56" i="3"/>
  <c r="DD57" i="3"/>
  <c r="DD61" i="3"/>
  <c r="DD64" i="3"/>
  <c r="DD65" i="3"/>
  <c r="DD69" i="3"/>
  <c r="AK104" i="3"/>
  <c r="AK103" i="3"/>
  <c r="AK102" i="3"/>
  <c r="AK101" i="3"/>
  <c r="AK100" i="3"/>
  <c r="AK99" i="3"/>
  <c r="AK98" i="3"/>
  <c r="AK97" i="3"/>
  <c r="AK96" i="3"/>
  <c r="AK95" i="3"/>
  <c r="AK94" i="3"/>
  <c r="AK93" i="3"/>
  <c r="AK92" i="3"/>
  <c r="AK91" i="3"/>
  <c r="AK90" i="3"/>
  <c r="AK89" i="3"/>
  <c r="AK88" i="3"/>
  <c r="AK87" i="3"/>
  <c r="AK86" i="3"/>
  <c r="AK85" i="3"/>
  <c r="AK84" i="3"/>
  <c r="AK83" i="3"/>
  <c r="AK82" i="3"/>
  <c r="AK81" i="3"/>
  <c r="AK80" i="3"/>
  <c r="AK79" i="3"/>
  <c r="AK78" i="3"/>
  <c r="AK77" i="3"/>
  <c r="AK76" i="3"/>
  <c r="AK75" i="3"/>
  <c r="AK74" i="3"/>
  <c r="CZ69" i="3"/>
  <c r="CZ68" i="3"/>
  <c r="CZ67" i="3"/>
  <c r="CZ66" i="3"/>
  <c r="CZ65" i="3"/>
  <c r="CZ64" i="3"/>
  <c r="CZ63" i="3"/>
  <c r="CZ62" i="3"/>
  <c r="CZ61" i="3"/>
  <c r="CZ60" i="3"/>
  <c r="CZ59" i="3"/>
  <c r="CZ58" i="3"/>
  <c r="CZ57" i="3"/>
  <c r="CZ56" i="3"/>
  <c r="CZ55" i="3"/>
  <c r="CZ54" i="3"/>
  <c r="CZ53" i="3"/>
  <c r="CZ52" i="3"/>
  <c r="CZ51" i="3"/>
  <c r="CZ50" i="3"/>
  <c r="CZ49" i="3"/>
  <c r="CZ48" i="3"/>
  <c r="CZ47" i="3"/>
  <c r="CZ46" i="3"/>
  <c r="CZ45" i="3"/>
  <c r="CZ44" i="3"/>
  <c r="CZ43" i="3"/>
  <c r="CZ42" i="3"/>
  <c r="CZ41" i="3"/>
  <c r="CZ40" i="3"/>
  <c r="CZ39" i="3"/>
  <c r="AK69" i="3"/>
  <c r="AK68" i="3"/>
  <c r="BR103" i="3" s="1"/>
  <c r="AK67" i="3"/>
  <c r="BR102" i="3" s="1"/>
  <c r="AK66" i="3"/>
  <c r="BR101" i="3" s="1"/>
  <c r="AK65" i="3"/>
  <c r="BR100" i="3" s="1"/>
  <c r="AK64" i="3"/>
  <c r="BR99" i="3" s="1"/>
  <c r="AK63" i="3"/>
  <c r="BR98" i="3" s="1"/>
  <c r="AK62" i="3"/>
  <c r="BR97" i="3" s="1"/>
  <c r="AK61" i="3"/>
  <c r="AK60" i="3"/>
  <c r="BR95" i="3" s="1"/>
  <c r="AK59" i="3"/>
  <c r="BR94" i="3" s="1"/>
  <c r="AK58" i="3"/>
  <c r="BR93" i="3" s="1"/>
  <c r="AK57" i="3"/>
  <c r="BR92" i="3" s="1"/>
  <c r="AK56" i="3"/>
  <c r="BR91" i="3" s="1"/>
  <c r="AK55" i="3"/>
  <c r="BR90" i="3" s="1"/>
  <c r="AK54" i="3"/>
  <c r="BR89" i="3" s="1"/>
  <c r="AK53" i="3"/>
  <c r="AK52" i="3"/>
  <c r="BR87" i="3" s="1"/>
  <c r="AK51" i="3"/>
  <c r="BR86" i="3" s="1"/>
  <c r="AK50" i="3"/>
  <c r="BR85" i="3" s="1"/>
  <c r="AK49" i="3"/>
  <c r="BR84" i="3" s="1"/>
  <c r="AK48" i="3"/>
  <c r="BR83" i="3" s="1"/>
  <c r="AK47" i="3"/>
  <c r="BR82" i="3" s="1"/>
  <c r="AK46" i="3"/>
  <c r="BR81" i="3" s="1"/>
  <c r="AK45" i="3"/>
  <c r="AK44" i="3"/>
  <c r="BR79" i="3" s="1"/>
  <c r="AK43" i="3"/>
  <c r="BR78" i="3" s="1"/>
  <c r="AK42" i="3"/>
  <c r="BR77" i="3" s="1"/>
  <c r="AK41" i="3"/>
  <c r="BR76" i="3" s="1"/>
  <c r="AK40" i="3"/>
  <c r="BR75" i="3" s="1"/>
  <c r="AK39" i="3"/>
  <c r="G104" i="3"/>
  <c r="G103" i="3"/>
  <c r="G102" i="3"/>
  <c r="G101" i="3"/>
  <c r="G100" i="3"/>
  <c r="G99" i="3"/>
  <c r="G98" i="3"/>
  <c r="G97" i="3"/>
  <c r="G96" i="3"/>
  <c r="G95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4" i="3"/>
  <c r="G69" i="3"/>
  <c r="AN104" i="3" s="1"/>
  <c r="G68" i="3"/>
  <c r="G67" i="3"/>
  <c r="AN102" i="3" s="1"/>
  <c r="G66" i="3"/>
  <c r="AN101" i="3" s="1"/>
  <c r="G65" i="3"/>
  <c r="AN100" i="3" s="1"/>
  <c r="G64" i="3"/>
  <c r="G63" i="3"/>
  <c r="AN98" i="3" s="1"/>
  <c r="G62" i="3"/>
  <c r="G61" i="3"/>
  <c r="AN96" i="3" s="1"/>
  <c r="G60" i="3"/>
  <c r="G59" i="3"/>
  <c r="AN94" i="3" s="1"/>
  <c r="G58" i="3"/>
  <c r="AN93" i="3" s="1"/>
  <c r="G57" i="3"/>
  <c r="AN92" i="3" s="1"/>
  <c r="G56" i="3"/>
  <c r="G55" i="3"/>
  <c r="AN90" i="3" s="1"/>
  <c r="G54" i="3"/>
  <c r="AN89" i="3" s="1"/>
  <c r="G53" i="3"/>
  <c r="AN88" i="3" s="1"/>
  <c r="G52" i="3"/>
  <c r="G51" i="3"/>
  <c r="AN86" i="3" s="1"/>
  <c r="G50" i="3"/>
  <c r="AN85" i="3" s="1"/>
  <c r="G49" i="3"/>
  <c r="AN84" i="3" s="1"/>
  <c r="G48" i="3"/>
  <c r="G47" i="3"/>
  <c r="AN82" i="3" s="1"/>
  <c r="G46" i="3"/>
  <c r="AN81" i="3" s="1"/>
  <c r="G45" i="3"/>
  <c r="AN80" i="3" s="1"/>
  <c r="G44" i="3"/>
  <c r="G43" i="3"/>
  <c r="AN78" i="3" s="1"/>
  <c r="G42" i="3"/>
  <c r="AN77" i="3" s="1"/>
  <c r="G41" i="3"/>
  <c r="AN76" i="3" s="1"/>
  <c r="G40" i="3"/>
  <c r="G39" i="3"/>
  <c r="G4" i="3"/>
  <c r="G5" i="3"/>
  <c r="AN41" i="3" s="1"/>
  <c r="G8" i="3"/>
  <c r="DD44" i="3" s="1"/>
  <c r="G9" i="3"/>
  <c r="AN45" i="3" s="1"/>
  <c r="G11" i="3"/>
  <c r="DD47" i="3" s="1"/>
  <c r="G12" i="3"/>
  <c r="AN48" i="3" s="1"/>
  <c r="G13" i="3"/>
  <c r="AN49" i="3" s="1"/>
  <c r="G19" i="3"/>
  <c r="DD55" i="3" s="1"/>
  <c r="G20" i="3"/>
  <c r="AN56" i="3" s="1"/>
  <c r="G21" i="3"/>
  <c r="AN57" i="3" s="1"/>
  <c r="G22" i="3"/>
  <c r="AN58" i="3" s="1"/>
  <c r="G23" i="3"/>
  <c r="DD59" i="3" s="1"/>
  <c r="G24" i="3"/>
  <c r="DD60" i="3" s="1"/>
  <c r="G25" i="3"/>
  <c r="AN61" i="3" s="1"/>
  <c r="G26" i="3"/>
  <c r="AN62" i="3" s="1"/>
  <c r="G27" i="3"/>
  <c r="DD63" i="3" s="1"/>
  <c r="G28" i="3"/>
  <c r="AN64" i="3" s="1"/>
  <c r="G29" i="3"/>
  <c r="AN65" i="3" s="1"/>
  <c r="G30" i="3"/>
  <c r="AN66" i="3" s="1"/>
  <c r="G31" i="3"/>
  <c r="DD67" i="3" s="1"/>
  <c r="G32" i="3"/>
  <c r="DD68" i="3" s="1"/>
  <c r="G33" i="3"/>
  <c r="AN69" i="3" s="1"/>
  <c r="AK4" i="3"/>
  <c r="BR40" i="3" s="1"/>
  <c r="AK5" i="3"/>
  <c r="BR41" i="3" s="1"/>
  <c r="AK6" i="3"/>
  <c r="BR42" i="3" s="1"/>
  <c r="AK7" i="3"/>
  <c r="BR43" i="3" s="1"/>
  <c r="AK8" i="3"/>
  <c r="BR44" i="3" s="1"/>
  <c r="AK9" i="3"/>
  <c r="BR45" i="3" s="1"/>
  <c r="AK10" i="3"/>
  <c r="BR46" i="3" s="1"/>
  <c r="AK11" i="3"/>
  <c r="BR47" i="3" s="1"/>
  <c r="AK12" i="3"/>
  <c r="BR48" i="3" s="1"/>
  <c r="AK13" i="3"/>
  <c r="BR49" i="3" s="1"/>
  <c r="AK14" i="3"/>
  <c r="BR50" i="3" s="1"/>
  <c r="AK15" i="3"/>
  <c r="BR51" i="3" s="1"/>
  <c r="AK16" i="3"/>
  <c r="BR52" i="3" s="1"/>
  <c r="AK17" i="3"/>
  <c r="BR53" i="3" s="1"/>
  <c r="AK18" i="3"/>
  <c r="BR54" i="3" s="1"/>
  <c r="AK19" i="3"/>
  <c r="BR55" i="3" s="1"/>
  <c r="AK20" i="3"/>
  <c r="BR56" i="3" s="1"/>
  <c r="AK21" i="3"/>
  <c r="BR57" i="3" s="1"/>
  <c r="AK22" i="3"/>
  <c r="BR58" i="3" s="1"/>
  <c r="AK23" i="3"/>
  <c r="BR59" i="3" s="1"/>
  <c r="AK24" i="3"/>
  <c r="BR60" i="3" s="1"/>
  <c r="AK25" i="3"/>
  <c r="BR61" i="3" s="1"/>
  <c r="AK26" i="3"/>
  <c r="BR62" i="3" s="1"/>
  <c r="AK27" i="3"/>
  <c r="BR63" i="3" s="1"/>
  <c r="AK28" i="3"/>
  <c r="BR64" i="3" s="1"/>
  <c r="AK29" i="3"/>
  <c r="BR65" i="3" s="1"/>
  <c r="AK30" i="3"/>
  <c r="BR66" i="3" s="1"/>
  <c r="AK31" i="3"/>
  <c r="BR67" i="3" s="1"/>
  <c r="AK32" i="3"/>
  <c r="BR68" i="3" s="1"/>
  <c r="AK33" i="3"/>
  <c r="BR69" i="3" s="1"/>
  <c r="B25" i="3"/>
  <c r="B27" i="3" s="1"/>
  <c r="B20" i="3"/>
  <c r="K34" i="3"/>
  <c r="N34" i="3"/>
  <c r="O34" i="3"/>
  <c r="S34" i="3"/>
  <c r="V34" i="3"/>
  <c r="W34" i="3"/>
  <c r="AA34" i="3"/>
  <c r="AD34" i="3"/>
  <c r="AE34" i="3"/>
  <c r="AI34" i="3"/>
  <c r="H34" i="3"/>
  <c r="AL4" i="3"/>
  <c r="AL8" i="3"/>
  <c r="AL11" i="3"/>
  <c r="AL12" i="3"/>
  <c r="AL16" i="3"/>
  <c r="AL19" i="3"/>
  <c r="AL20" i="3"/>
  <c r="AL24" i="3"/>
  <c r="AL27" i="3"/>
  <c r="AL28" i="3"/>
  <c r="AL32" i="3"/>
  <c r="AK3" i="3"/>
  <c r="BR39" i="3" s="1"/>
  <c r="G3" i="3"/>
  <c r="AN39" i="3" s="1"/>
  <c r="L2" i="3"/>
  <c r="O2" i="3"/>
  <c r="P2" i="3"/>
  <c r="T2" i="3"/>
  <c r="W2" i="3"/>
  <c r="X2" i="3"/>
  <c r="AB2" i="3"/>
  <c r="AE2" i="3"/>
  <c r="AF2" i="3"/>
  <c r="AJ2" i="3"/>
  <c r="F3" i="3"/>
  <c r="F4" i="3"/>
  <c r="F8" i="3"/>
  <c r="F11" i="3"/>
  <c r="F12" i="3"/>
  <c r="F16" i="3"/>
  <c r="F19" i="3"/>
  <c r="F20" i="3"/>
  <c r="F24" i="3"/>
  <c r="F27" i="3"/>
  <c r="F28" i="3"/>
  <c r="F32" i="3"/>
  <c r="B6" i="3"/>
  <c r="AL6" i="3" s="1"/>
  <c r="B5" i="3"/>
  <c r="B21" i="3" s="1"/>
  <c r="BW52" i="3" l="1"/>
  <c r="BX52" i="3" s="1"/>
  <c r="BY52" i="3" s="1"/>
  <c r="BZ52" i="3" s="1"/>
  <c r="CA52" i="3" s="1"/>
  <c r="CB52" i="3" s="1"/>
  <c r="CC52" i="3" s="1"/>
  <c r="CD52" i="3" s="1"/>
  <c r="CE52" i="3" s="1"/>
  <c r="CF52" i="3" s="1"/>
  <c r="CG52" i="3" s="1"/>
  <c r="CH52" i="3" s="1"/>
  <c r="CI52" i="3" s="1"/>
  <c r="CJ52" i="3" s="1"/>
  <c r="CK52" i="3" s="1"/>
  <c r="CL52" i="3" s="1"/>
  <c r="CM52" i="3" s="1"/>
  <c r="CN52" i="3" s="1"/>
  <c r="CO52" i="3" s="1"/>
  <c r="CP52" i="3" s="1"/>
  <c r="CQ52" i="3" s="1"/>
  <c r="CR52" i="3" s="1"/>
  <c r="CS52" i="3" s="1"/>
  <c r="CT52" i="3" s="1"/>
  <c r="CU52" i="3" s="1"/>
  <c r="CV52" i="3" s="1"/>
  <c r="CW52" i="3" s="1"/>
  <c r="CX52" i="3" s="1"/>
  <c r="CY52" i="3" s="1"/>
  <c r="BW45" i="3"/>
  <c r="BX45" i="3" s="1"/>
  <c r="BY45" i="3" s="1"/>
  <c r="BZ45" i="3" s="1"/>
  <c r="CA45" i="3" s="1"/>
  <c r="CB45" i="3" s="1"/>
  <c r="CC45" i="3" s="1"/>
  <c r="CD45" i="3" s="1"/>
  <c r="CE45" i="3" s="1"/>
  <c r="CF45" i="3" s="1"/>
  <c r="CG45" i="3" s="1"/>
  <c r="CH45" i="3" s="1"/>
  <c r="CI45" i="3" s="1"/>
  <c r="CJ45" i="3" s="1"/>
  <c r="CK45" i="3" s="1"/>
  <c r="CL45" i="3" s="1"/>
  <c r="CM45" i="3" s="1"/>
  <c r="CN45" i="3" s="1"/>
  <c r="CO45" i="3" s="1"/>
  <c r="CP45" i="3" s="1"/>
  <c r="CQ45" i="3" s="1"/>
  <c r="CR45" i="3" s="1"/>
  <c r="CS45" i="3" s="1"/>
  <c r="F29" i="3"/>
  <c r="F21" i="3"/>
  <c r="F13" i="3"/>
  <c r="F5" i="3"/>
  <c r="AG2" i="3"/>
  <c r="Y2" i="3"/>
  <c r="Q2" i="3"/>
  <c r="I2" i="3"/>
  <c r="AL29" i="3"/>
  <c r="AL21" i="3"/>
  <c r="AL13" i="3"/>
  <c r="AL5" i="3"/>
  <c r="AF34" i="3"/>
  <c r="X34" i="3"/>
  <c r="P34" i="3"/>
  <c r="B22" i="3"/>
  <c r="BW67" i="3"/>
  <c r="BX67" i="3" s="1"/>
  <c r="BY67" i="3" s="1"/>
  <c r="BZ67" i="3" s="1"/>
  <c r="CA67" i="3" s="1"/>
  <c r="CB67" i="3" s="1"/>
  <c r="CC67" i="3" s="1"/>
  <c r="CD67" i="3" s="1"/>
  <c r="CE67" i="3" s="1"/>
  <c r="CF67" i="3" s="1"/>
  <c r="CG67" i="3" s="1"/>
  <c r="CH67" i="3" s="1"/>
  <c r="CI67" i="3" s="1"/>
  <c r="CJ67" i="3" s="1"/>
  <c r="CK67" i="3" s="1"/>
  <c r="CL67" i="3" s="1"/>
  <c r="CM67" i="3" s="1"/>
  <c r="CN67" i="3" s="1"/>
  <c r="CO67" i="3" s="1"/>
  <c r="CP67" i="3" s="1"/>
  <c r="CQ67" i="3" s="1"/>
  <c r="CR67" i="3" s="1"/>
  <c r="BW61" i="3"/>
  <c r="BX61" i="3" s="1"/>
  <c r="BY61" i="3" s="1"/>
  <c r="BZ61" i="3" s="1"/>
  <c r="CA61" i="3" s="1"/>
  <c r="CB61" i="3" s="1"/>
  <c r="CC61" i="3" s="1"/>
  <c r="CD61" i="3" s="1"/>
  <c r="CE61" i="3" s="1"/>
  <c r="CF61" i="3" s="1"/>
  <c r="CG61" i="3" s="1"/>
  <c r="CH61" i="3" s="1"/>
  <c r="CI61" i="3" s="1"/>
  <c r="CJ61" i="3" s="1"/>
  <c r="CK61" i="3" s="1"/>
  <c r="CL61" i="3" s="1"/>
  <c r="CM61" i="3" s="1"/>
  <c r="CN61" i="3" s="1"/>
  <c r="CO61" i="3" s="1"/>
  <c r="CP61" i="3" s="1"/>
  <c r="CQ61" i="3" s="1"/>
  <c r="CR61" i="3" s="1"/>
  <c r="CS61" i="3" s="1"/>
  <c r="CT61" i="3" s="1"/>
  <c r="CU61" i="3" s="1"/>
  <c r="CV61" i="3" s="1"/>
  <c r="CW61" i="3" s="1"/>
  <c r="CX61" i="3" s="1"/>
  <c r="DD66" i="3"/>
  <c r="DD58" i="3"/>
  <c r="CR103" i="3"/>
  <c r="CR102" i="3" s="1"/>
  <c r="CR101" i="3" s="1"/>
  <c r="CR100" i="3" s="1"/>
  <c r="CR99" i="3" s="1"/>
  <c r="CR98" i="3" s="1"/>
  <c r="CR97" i="3" s="1"/>
  <c r="CR96" i="3" s="1"/>
  <c r="CR95" i="3" s="1"/>
  <c r="CR94" i="3" s="1"/>
  <c r="CR93" i="3" s="1"/>
  <c r="CR92" i="3" s="1"/>
  <c r="CR91" i="3" s="1"/>
  <c r="CR90" i="3" s="1"/>
  <c r="CR89" i="3" s="1"/>
  <c r="CR88" i="3" s="1"/>
  <c r="CR87" i="3" s="1"/>
  <c r="CR86" i="3" s="1"/>
  <c r="CR85" i="3" s="1"/>
  <c r="CR84" i="3" s="1"/>
  <c r="CR83" i="3" s="1"/>
  <c r="CR82" i="3" s="1"/>
  <c r="CR81" i="3" s="1"/>
  <c r="CR80" i="3" s="1"/>
  <c r="CR79" i="3" s="1"/>
  <c r="CR78" i="3" s="1"/>
  <c r="CR77" i="3" s="1"/>
  <c r="CR76" i="3" s="1"/>
  <c r="CR75" i="3" s="1"/>
  <c r="CR74" i="3" s="1"/>
  <c r="CB103" i="3"/>
  <c r="CB102" i="3" s="1"/>
  <c r="CB101" i="3" s="1"/>
  <c r="CB100" i="3" s="1"/>
  <c r="CB99" i="3" s="1"/>
  <c r="CB98" i="3" s="1"/>
  <c r="CB97" i="3" s="1"/>
  <c r="CB96" i="3" s="1"/>
  <c r="CB95" i="3" s="1"/>
  <c r="CB94" i="3" s="1"/>
  <c r="CB93" i="3" s="1"/>
  <c r="CB92" i="3" s="1"/>
  <c r="CB91" i="3" s="1"/>
  <c r="CB90" i="3" s="1"/>
  <c r="CB89" i="3" s="1"/>
  <c r="CB88" i="3" s="1"/>
  <c r="CB87" i="3" s="1"/>
  <c r="CB86" i="3" s="1"/>
  <c r="CB85" i="3" s="1"/>
  <c r="CB84" i="3" s="1"/>
  <c r="CB83" i="3" s="1"/>
  <c r="CB82" i="3" s="1"/>
  <c r="CB81" i="3" s="1"/>
  <c r="CB80" i="3" s="1"/>
  <c r="CB79" i="3" s="1"/>
  <c r="CB78" i="3" s="1"/>
  <c r="CB77" i="3" s="1"/>
  <c r="CB76" i="3" s="1"/>
  <c r="CB75" i="3" s="1"/>
  <c r="CB74" i="3" s="1"/>
  <c r="CO103" i="3"/>
  <c r="CO102" i="3" s="1"/>
  <c r="CO101" i="3" s="1"/>
  <c r="CO100" i="3" s="1"/>
  <c r="CO99" i="3" s="1"/>
  <c r="CO98" i="3" s="1"/>
  <c r="CO97" i="3" s="1"/>
  <c r="CO96" i="3" s="1"/>
  <c r="CO95" i="3" s="1"/>
  <c r="CO94" i="3" s="1"/>
  <c r="CO93" i="3" s="1"/>
  <c r="CO92" i="3" s="1"/>
  <c r="CO91" i="3" s="1"/>
  <c r="CO90" i="3" s="1"/>
  <c r="CO89" i="3" s="1"/>
  <c r="CO88" i="3" s="1"/>
  <c r="CO87" i="3" s="1"/>
  <c r="CO86" i="3" s="1"/>
  <c r="CO85" i="3" s="1"/>
  <c r="CO84" i="3" s="1"/>
  <c r="CO83" i="3" s="1"/>
  <c r="CO82" i="3" s="1"/>
  <c r="CO81" i="3" s="1"/>
  <c r="CO80" i="3" s="1"/>
  <c r="CO79" i="3" s="1"/>
  <c r="CO78" i="3" s="1"/>
  <c r="CO77" i="3" s="1"/>
  <c r="CO76" i="3" s="1"/>
  <c r="CO75" i="3" s="1"/>
  <c r="CO74" i="3" s="1"/>
  <c r="BW56" i="3"/>
  <c r="BX56" i="3" s="1"/>
  <c r="BY56" i="3" s="1"/>
  <c r="BZ56" i="3" s="1"/>
  <c r="CA56" i="3" s="1"/>
  <c r="CB56" i="3" s="1"/>
  <c r="CC56" i="3" s="1"/>
  <c r="CD56" i="3" s="1"/>
  <c r="CE56" i="3" s="1"/>
  <c r="CF56" i="3" s="1"/>
  <c r="CG56" i="3" s="1"/>
  <c r="CH56" i="3" s="1"/>
  <c r="CI56" i="3" s="1"/>
  <c r="CJ56" i="3" s="1"/>
  <c r="CK56" i="3" s="1"/>
  <c r="CL56" i="3" s="1"/>
  <c r="CM56" i="3" s="1"/>
  <c r="CN56" i="3" s="1"/>
  <c r="CO56" i="3" s="1"/>
  <c r="CP56" i="3" s="1"/>
  <c r="CQ56" i="3" s="1"/>
  <c r="CR56" i="3" s="1"/>
  <c r="CS56" i="3" s="1"/>
  <c r="CT56" i="3" s="1"/>
  <c r="CU56" i="3" s="1"/>
  <c r="CV56" i="3" s="1"/>
  <c r="CW56" i="3" s="1"/>
  <c r="CX56" i="3" s="1"/>
  <c r="CY56" i="3" s="1"/>
  <c r="BW48" i="3"/>
  <c r="BX48" i="3" s="1"/>
  <c r="BY48" i="3" s="1"/>
  <c r="BZ48" i="3" s="1"/>
  <c r="CA48" i="3" s="1"/>
  <c r="CB48" i="3" s="1"/>
  <c r="CC48" i="3" s="1"/>
  <c r="CD48" i="3" s="1"/>
  <c r="CE48" i="3" s="1"/>
  <c r="CF48" i="3" s="1"/>
  <c r="CG48" i="3" s="1"/>
  <c r="CH48" i="3" s="1"/>
  <c r="CI48" i="3" s="1"/>
  <c r="CJ48" i="3" s="1"/>
  <c r="CK48" i="3" s="1"/>
  <c r="CL48" i="3" s="1"/>
  <c r="CM48" i="3" s="1"/>
  <c r="CN48" i="3" s="1"/>
  <c r="CO48" i="3" s="1"/>
  <c r="CP48" i="3" s="1"/>
  <c r="CQ48" i="3" s="1"/>
  <c r="CR48" i="3" s="1"/>
  <c r="CS48" i="3" s="1"/>
  <c r="CT48" i="3" s="1"/>
  <c r="BW42" i="3"/>
  <c r="BX42" i="3" s="1"/>
  <c r="BY42" i="3" s="1"/>
  <c r="BZ42" i="3" s="1"/>
  <c r="CA42" i="3" s="1"/>
  <c r="CB42" i="3" s="1"/>
  <c r="CC42" i="3" s="1"/>
  <c r="CD42" i="3" s="1"/>
  <c r="CE42" i="3" s="1"/>
  <c r="CF42" i="3" s="1"/>
  <c r="CG42" i="3" s="1"/>
  <c r="CH42" i="3" s="1"/>
  <c r="CI42" i="3" s="1"/>
  <c r="DD49" i="3"/>
  <c r="DE68" i="3"/>
  <c r="AN67" i="3"/>
  <c r="DE60" i="3"/>
  <c r="AN59" i="3"/>
  <c r="CL103" i="3"/>
  <c r="CL102" i="3" s="1"/>
  <c r="CL101" i="3" s="1"/>
  <c r="CL100" i="3" s="1"/>
  <c r="CL99" i="3" s="1"/>
  <c r="CL98" i="3" s="1"/>
  <c r="CL97" i="3" s="1"/>
  <c r="CL96" i="3" s="1"/>
  <c r="CL95" i="3" s="1"/>
  <c r="CL94" i="3" s="1"/>
  <c r="CL93" i="3" s="1"/>
  <c r="CL92" i="3" s="1"/>
  <c r="CL91" i="3" s="1"/>
  <c r="CL90" i="3" s="1"/>
  <c r="CL89" i="3" s="1"/>
  <c r="CL88" i="3" s="1"/>
  <c r="CL87" i="3" s="1"/>
  <c r="CL86" i="3" s="1"/>
  <c r="CL85" i="3" s="1"/>
  <c r="CL84" i="3" s="1"/>
  <c r="CL83" i="3" s="1"/>
  <c r="CL82" i="3" s="1"/>
  <c r="CL81" i="3" s="1"/>
  <c r="CL80" i="3" s="1"/>
  <c r="CL79" i="3" s="1"/>
  <c r="CL78" i="3" s="1"/>
  <c r="CL77" i="3" s="1"/>
  <c r="CL76" i="3" s="1"/>
  <c r="CL75" i="3" s="1"/>
  <c r="CL74" i="3" s="1"/>
  <c r="BV103" i="3"/>
  <c r="BV102" i="3" s="1"/>
  <c r="BV101" i="3" s="1"/>
  <c r="BV100" i="3" s="1"/>
  <c r="BV99" i="3" s="1"/>
  <c r="BV98" i="3" s="1"/>
  <c r="BV97" i="3" s="1"/>
  <c r="BV96" i="3" s="1"/>
  <c r="BV95" i="3" s="1"/>
  <c r="BV94" i="3" s="1"/>
  <c r="BV93" i="3" s="1"/>
  <c r="BV92" i="3" s="1"/>
  <c r="BV91" i="3" s="1"/>
  <c r="BV90" i="3" s="1"/>
  <c r="BV89" i="3" s="1"/>
  <c r="BV88" i="3" s="1"/>
  <c r="BV87" i="3" s="1"/>
  <c r="BV86" i="3" s="1"/>
  <c r="BV85" i="3" s="1"/>
  <c r="BV84" i="3" s="1"/>
  <c r="BV83" i="3" s="1"/>
  <c r="BV82" i="3" s="1"/>
  <c r="BV81" i="3" s="1"/>
  <c r="BV80" i="3" s="1"/>
  <c r="BV79" i="3" s="1"/>
  <c r="BV78" i="3" s="1"/>
  <c r="BV77" i="3" s="1"/>
  <c r="BV76" i="3" s="1"/>
  <c r="BV75" i="3" s="1"/>
  <c r="BV74" i="3" s="1"/>
  <c r="CM103" i="3"/>
  <c r="CM102" i="3" s="1"/>
  <c r="CM101" i="3" s="1"/>
  <c r="CM100" i="3" s="1"/>
  <c r="CM99" i="3" s="1"/>
  <c r="CM98" i="3" s="1"/>
  <c r="CM97" i="3" s="1"/>
  <c r="CM96" i="3" s="1"/>
  <c r="CM95" i="3" s="1"/>
  <c r="CM94" i="3" s="1"/>
  <c r="CM93" i="3" s="1"/>
  <c r="CM92" i="3" s="1"/>
  <c r="CM91" i="3" s="1"/>
  <c r="CM90" i="3" s="1"/>
  <c r="CM89" i="3" s="1"/>
  <c r="CM88" i="3" s="1"/>
  <c r="CM87" i="3" s="1"/>
  <c r="CM86" i="3" s="1"/>
  <c r="CM85" i="3" s="1"/>
  <c r="CM84" i="3" s="1"/>
  <c r="CM83" i="3" s="1"/>
  <c r="CM82" i="3" s="1"/>
  <c r="CM81" i="3" s="1"/>
  <c r="CM80" i="3" s="1"/>
  <c r="CM79" i="3" s="1"/>
  <c r="CM78" i="3" s="1"/>
  <c r="CM77" i="3" s="1"/>
  <c r="CM76" i="3" s="1"/>
  <c r="CM75" i="3" s="1"/>
  <c r="CM74" i="3" s="1"/>
  <c r="AN68" i="3"/>
  <c r="AN60" i="3"/>
  <c r="AN44" i="3"/>
  <c r="DD45" i="3"/>
  <c r="DE45" i="3" s="1"/>
  <c r="DF45" i="3" s="1"/>
  <c r="DG45" i="3" s="1"/>
  <c r="DH45" i="3" s="1"/>
  <c r="DI45" i="3" s="1"/>
  <c r="DJ45" i="3" s="1"/>
  <c r="DK45" i="3" s="1"/>
  <c r="DL45" i="3" s="1"/>
  <c r="DM45" i="3" s="1"/>
  <c r="DN45" i="3" s="1"/>
  <c r="DO45" i="3" s="1"/>
  <c r="DP45" i="3" s="1"/>
  <c r="DQ45" i="3" s="1"/>
  <c r="DR45" i="3" s="1"/>
  <c r="DS45" i="3" s="1"/>
  <c r="DT45" i="3" s="1"/>
  <c r="DU45" i="3" s="1"/>
  <c r="DV45" i="3" s="1"/>
  <c r="DW45" i="3" s="1"/>
  <c r="DX45" i="3" s="1"/>
  <c r="DY45" i="3" s="1"/>
  <c r="DZ45" i="3" s="1"/>
  <c r="EA45" i="3" s="1"/>
  <c r="EB45" i="3" s="1"/>
  <c r="F26" i="3"/>
  <c r="F18" i="3"/>
  <c r="F10" i="3"/>
  <c r="H2" i="3"/>
  <c r="AD2" i="3"/>
  <c r="V2" i="3"/>
  <c r="N2" i="3"/>
  <c r="AL3" i="3"/>
  <c r="AL26" i="3"/>
  <c r="AL18" i="3"/>
  <c r="AL10" i="3"/>
  <c r="AK34" i="3"/>
  <c r="AC34" i="3"/>
  <c r="U34" i="3"/>
  <c r="M34" i="3"/>
  <c r="CK103" i="3"/>
  <c r="CK102" i="3" s="1"/>
  <c r="CK101" i="3" s="1"/>
  <c r="CK100" i="3" s="1"/>
  <c r="CK99" i="3" s="1"/>
  <c r="CK98" i="3" s="1"/>
  <c r="CK97" i="3" s="1"/>
  <c r="CK96" i="3" s="1"/>
  <c r="CK95" i="3" s="1"/>
  <c r="CK94" i="3" s="1"/>
  <c r="CK93" i="3" s="1"/>
  <c r="CK92" i="3" s="1"/>
  <c r="CK91" i="3" s="1"/>
  <c r="CK90" i="3" s="1"/>
  <c r="CK89" i="3" s="1"/>
  <c r="CK88" i="3" s="1"/>
  <c r="CK87" i="3" s="1"/>
  <c r="CK86" i="3" s="1"/>
  <c r="CK85" i="3" s="1"/>
  <c r="CK84" i="3" s="1"/>
  <c r="CK83" i="3" s="1"/>
  <c r="CK82" i="3" s="1"/>
  <c r="CK81" i="3" s="1"/>
  <c r="CK80" i="3" s="1"/>
  <c r="CK79" i="3" s="1"/>
  <c r="CK78" i="3" s="1"/>
  <c r="CK77" i="3" s="1"/>
  <c r="CK76" i="3" s="1"/>
  <c r="CK75" i="3" s="1"/>
  <c r="CK74" i="3" s="1"/>
  <c r="CY103" i="3"/>
  <c r="CY102" i="3" s="1"/>
  <c r="CY101" i="3" s="1"/>
  <c r="CY100" i="3" s="1"/>
  <c r="CY99" i="3" s="1"/>
  <c r="CY98" i="3" s="1"/>
  <c r="CY97" i="3" s="1"/>
  <c r="CY96" i="3" s="1"/>
  <c r="CY95" i="3" s="1"/>
  <c r="CY94" i="3" s="1"/>
  <c r="CY93" i="3" s="1"/>
  <c r="CY92" i="3" s="1"/>
  <c r="CY91" i="3" s="1"/>
  <c r="CY90" i="3" s="1"/>
  <c r="CY89" i="3" s="1"/>
  <c r="CY88" i="3" s="1"/>
  <c r="CY87" i="3" s="1"/>
  <c r="CY86" i="3" s="1"/>
  <c r="CY85" i="3" s="1"/>
  <c r="CY84" i="3" s="1"/>
  <c r="CY83" i="3" s="1"/>
  <c r="CY82" i="3" s="1"/>
  <c r="CY81" i="3" s="1"/>
  <c r="CY80" i="3" s="1"/>
  <c r="CY79" i="3" s="1"/>
  <c r="CY78" i="3" s="1"/>
  <c r="CY77" i="3" s="1"/>
  <c r="CY76" i="3" s="1"/>
  <c r="CY75" i="3" s="1"/>
  <c r="CY74" i="3" s="1"/>
  <c r="CI103" i="3"/>
  <c r="CI102" i="3" s="1"/>
  <c r="CI101" i="3" s="1"/>
  <c r="CI100" i="3" s="1"/>
  <c r="CI99" i="3" s="1"/>
  <c r="CI98" i="3" s="1"/>
  <c r="CI97" i="3" s="1"/>
  <c r="CI96" i="3" s="1"/>
  <c r="CI95" i="3" s="1"/>
  <c r="CI94" i="3" s="1"/>
  <c r="CI93" i="3" s="1"/>
  <c r="CI92" i="3" s="1"/>
  <c r="CI91" i="3" s="1"/>
  <c r="CI90" i="3" s="1"/>
  <c r="CI89" i="3" s="1"/>
  <c r="CI88" i="3" s="1"/>
  <c r="CI87" i="3" s="1"/>
  <c r="CI86" i="3" s="1"/>
  <c r="CI85" i="3" s="1"/>
  <c r="CI84" i="3" s="1"/>
  <c r="CI83" i="3" s="1"/>
  <c r="CI82" i="3" s="1"/>
  <c r="CI81" i="3" s="1"/>
  <c r="CI80" i="3" s="1"/>
  <c r="CI79" i="3" s="1"/>
  <c r="CI78" i="3" s="1"/>
  <c r="CI77" i="3" s="1"/>
  <c r="CI76" i="3" s="1"/>
  <c r="CI75" i="3" s="1"/>
  <c r="CI74" i="3" s="1"/>
  <c r="F25" i="3"/>
  <c r="F17" i="3"/>
  <c r="F9" i="3"/>
  <c r="AK2" i="3"/>
  <c r="AC2" i="3"/>
  <c r="U2" i="3"/>
  <c r="M2" i="3"/>
  <c r="AL33" i="3"/>
  <c r="AL25" i="3"/>
  <c r="AL17" i="3"/>
  <c r="AL9" i="3"/>
  <c r="AJ34" i="3"/>
  <c r="AB34" i="3"/>
  <c r="T34" i="3"/>
  <c r="L34" i="3"/>
  <c r="B26" i="3"/>
  <c r="BW53" i="3"/>
  <c r="BX53" i="3" s="1"/>
  <c r="BY53" i="3" s="1"/>
  <c r="BZ53" i="3" s="1"/>
  <c r="CA53" i="3" s="1"/>
  <c r="CB53" i="3" s="1"/>
  <c r="CC53" i="3" s="1"/>
  <c r="CD53" i="3" s="1"/>
  <c r="CE53" i="3" s="1"/>
  <c r="CF53" i="3" s="1"/>
  <c r="CG53" i="3" s="1"/>
  <c r="CH53" i="3" s="1"/>
  <c r="CI53" i="3" s="1"/>
  <c r="CJ53" i="3" s="1"/>
  <c r="CK53" i="3" s="1"/>
  <c r="CL53" i="3" s="1"/>
  <c r="CM53" i="3" s="1"/>
  <c r="CN53" i="3" s="1"/>
  <c r="CO53" i="3" s="1"/>
  <c r="CP53" i="3" s="1"/>
  <c r="CQ53" i="3" s="1"/>
  <c r="CR53" i="3" s="1"/>
  <c r="CS53" i="3" s="1"/>
  <c r="CT53" i="3" s="1"/>
  <c r="CU53" i="3" s="1"/>
  <c r="CV53" i="3" s="1"/>
  <c r="CW53" i="3" s="1"/>
  <c r="CX53" i="3" s="1"/>
  <c r="BW46" i="3"/>
  <c r="BX46" i="3" s="1"/>
  <c r="BY46" i="3" s="1"/>
  <c r="BZ46" i="3" s="1"/>
  <c r="CA46" i="3" s="1"/>
  <c r="CB46" i="3" s="1"/>
  <c r="CC46" i="3" s="1"/>
  <c r="CD46" i="3" s="1"/>
  <c r="CE46" i="3" s="1"/>
  <c r="CF46" i="3" s="1"/>
  <c r="CG46" i="3" s="1"/>
  <c r="CH46" i="3" s="1"/>
  <c r="CI46" i="3" s="1"/>
  <c r="CJ46" i="3" s="1"/>
  <c r="CK46" i="3" s="1"/>
  <c r="CL46" i="3" s="1"/>
  <c r="CM46" i="3" s="1"/>
  <c r="CN46" i="3" s="1"/>
  <c r="DD39" i="3"/>
  <c r="DE39" i="3" s="1"/>
  <c r="DD62" i="3"/>
  <c r="F31" i="3"/>
  <c r="F23" i="3"/>
  <c r="F15" i="3"/>
  <c r="F7" i="3"/>
  <c r="AI2" i="3"/>
  <c r="AA2" i="3"/>
  <c r="S2" i="3"/>
  <c r="K2" i="3"/>
  <c r="AL31" i="3"/>
  <c r="AL23" i="3"/>
  <c r="AL15" i="3"/>
  <c r="AL7" i="3"/>
  <c r="AH34" i="3"/>
  <c r="Z34" i="3"/>
  <c r="R34" i="3"/>
  <c r="J34" i="3"/>
  <c r="BW69" i="3"/>
  <c r="BX69" i="3" s="1"/>
  <c r="BY69" i="3" s="1"/>
  <c r="BZ69" i="3" s="1"/>
  <c r="CA69" i="3" s="1"/>
  <c r="CB69" i="3" s="1"/>
  <c r="CC69" i="3" s="1"/>
  <c r="CD69" i="3" s="1"/>
  <c r="CE69" i="3" s="1"/>
  <c r="CF69" i="3" s="1"/>
  <c r="CG69" i="3" s="1"/>
  <c r="CH69" i="3" s="1"/>
  <c r="CI69" i="3" s="1"/>
  <c r="CJ69" i="3" s="1"/>
  <c r="CK69" i="3" s="1"/>
  <c r="CL69" i="3" s="1"/>
  <c r="CM69" i="3" s="1"/>
  <c r="CN69" i="3" s="1"/>
  <c r="CO69" i="3" s="1"/>
  <c r="CP69" i="3" s="1"/>
  <c r="CQ69" i="3" s="1"/>
  <c r="CR69" i="3" s="1"/>
  <c r="CS69" i="3" s="1"/>
  <c r="CT69" i="3" s="1"/>
  <c r="CU69" i="3" s="1"/>
  <c r="CV69" i="3" s="1"/>
  <c r="CW69" i="3" s="1"/>
  <c r="CX69" i="3" s="1"/>
  <c r="CD103" i="3"/>
  <c r="CD102" i="3" s="1"/>
  <c r="CD101" i="3" s="1"/>
  <c r="CD100" i="3" s="1"/>
  <c r="CD99" i="3" s="1"/>
  <c r="CD98" i="3" s="1"/>
  <c r="CD97" i="3" s="1"/>
  <c r="CD96" i="3" s="1"/>
  <c r="CD95" i="3" s="1"/>
  <c r="CD94" i="3" s="1"/>
  <c r="CD93" i="3" s="1"/>
  <c r="CD92" i="3" s="1"/>
  <c r="CD91" i="3" s="1"/>
  <c r="CD90" i="3" s="1"/>
  <c r="CD89" i="3" s="1"/>
  <c r="CD88" i="3" s="1"/>
  <c r="CD87" i="3" s="1"/>
  <c r="CD86" i="3" s="1"/>
  <c r="CD85" i="3" s="1"/>
  <c r="CD84" i="3" s="1"/>
  <c r="CD83" i="3" s="1"/>
  <c r="CD82" i="3" s="1"/>
  <c r="CD81" i="3" s="1"/>
  <c r="CD80" i="3" s="1"/>
  <c r="CD79" i="3" s="1"/>
  <c r="CD78" i="3" s="1"/>
  <c r="CD77" i="3" s="1"/>
  <c r="CD76" i="3" s="1"/>
  <c r="CD75" i="3" s="1"/>
  <c r="CD74" i="3" s="1"/>
  <c r="CU103" i="3"/>
  <c r="CU102" i="3" s="1"/>
  <c r="CU101" i="3" s="1"/>
  <c r="CU100" i="3" s="1"/>
  <c r="CU99" i="3" s="1"/>
  <c r="CU98" i="3" s="1"/>
  <c r="CU97" i="3" s="1"/>
  <c r="CU96" i="3" s="1"/>
  <c r="CU95" i="3" s="1"/>
  <c r="CU94" i="3" s="1"/>
  <c r="CU93" i="3" s="1"/>
  <c r="CU92" i="3" s="1"/>
  <c r="CU91" i="3" s="1"/>
  <c r="CU90" i="3" s="1"/>
  <c r="CU89" i="3" s="1"/>
  <c r="CU88" i="3" s="1"/>
  <c r="CU87" i="3" s="1"/>
  <c r="CU86" i="3" s="1"/>
  <c r="CU85" i="3" s="1"/>
  <c r="CU84" i="3" s="1"/>
  <c r="CU83" i="3" s="1"/>
  <c r="CU82" i="3" s="1"/>
  <c r="CU81" i="3" s="1"/>
  <c r="CU80" i="3" s="1"/>
  <c r="CU79" i="3" s="1"/>
  <c r="CU78" i="3" s="1"/>
  <c r="CU77" i="3" s="1"/>
  <c r="CU76" i="3" s="1"/>
  <c r="CU75" i="3" s="1"/>
  <c r="CU74" i="3" s="1"/>
  <c r="CE103" i="3"/>
  <c r="CE102" i="3" s="1"/>
  <c r="CE101" i="3" s="1"/>
  <c r="CE100" i="3" s="1"/>
  <c r="CE99" i="3" s="1"/>
  <c r="CE98" i="3" s="1"/>
  <c r="CE97" i="3" s="1"/>
  <c r="CE96" i="3" s="1"/>
  <c r="CE95" i="3" s="1"/>
  <c r="CE94" i="3" s="1"/>
  <c r="CE93" i="3" s="1"/>
  <c r="CE92" i="3" s="1"/>
  <c r="CE91" i="3" s="1"/>
  <c r="CE90" i="3" s="1"/>
  <c r="CE89" i="3" s="1"/>
  <c r="CE88" i="3" s="1"/>
  <c r="CE87" i="3" s="1"/>
  <c r="CE86" i="3" s="1"/>
  <c r="CE85" i="3" s="1"/>
  <c r="CE84" i="3" s="1"/>
  <c r="CE83" i="3" s="1"/>
  <c r="CE82" i="3" s="1"/>
  <c r="CE81" i="3" s="1"/>
  <c r="CE80" i="3" s="1"/>
  <c r="CE79" i="3" s="1"/>
  <c r="CE78" i="3" s="1"/>
  <c r="CE77" i="3" s="1"/>
  <c r="CE76" i="3" s="1"/>
  <c r="CE75" i="3" s="1"/>
  <c r="CE74" i="3" s="1"/>
  <c r="F30" i="3"/>
  <c r="F22" i="3"/>
  <c r="F14" i="3"/>
  <c r="F6" i="3"/>
  <c r="AH2" i="3"/>
  <c r="Z2" i="3"/>
  <c r="R2" i="3"/>
  <c r="J2" i="3"/>
  <c r="AL30" i="3"/>
  <c r="AL22" i="3"/>
  <c r="AL14" i="3"/>
  <c r="AG34" i="3"/>
  <c r="Y34" i="3"/>
  <c r="Q34" i="3"/>
  <c r="I34" i="3"/>
  <c r="BW62" i="3"/>
  <c r="BX62" i="3" s="1"/>
  <c r="BY62" i="3" s="1"/>
  <c r="BZ62" i="3" s="1"/>
  <c r="CA62" i="3" s="1"/>
  <c r="CB62" i="3" s="1"/>
  <c r="CC62" i="3" s="1"/>
  <c r="CD62" i="3" s="1"/>
  <c r="CE62" i="3" s="1"/>
  <c r="CF62" i="3" s="1"/>
  <c r="CG62" i="3" s="1"/>
  <c r="CH62" i="3" s="1"/>
  <c r="CI62" i="3" s="1"/>
  <c r="CJ62" i="3" s="1"/>
  <c r="CK62" i="3" s="1"/>
  <c r="CL62" i="3" s="1"/>
  <c r="CM62" i="3" s="1"/>
  <c r="CN62" i="3" s="1"/>
  <c r="CO62" i="3" s="1"/>
  <c r="CP62" i="3" s="1"/>
  <c r="CQ62" i="3" s="1"/>
  <c r="CR62" i="3" s="1"/>
  <c r="CS62" i="3" s="1"/>
  <c r="CT62" i="3" s="1"/>
  <c r="CU62" i="3" s="1"/>
  <c r="CV62" i="3" s="1"/>
  <c r="CW62" i="3" s="1"/>
  <c r="CX62" i="3" s="1"/>
  <c r="CY62" i="3" s="1"/>
  <c r="BW58" i="3"/>
  <c r="BW50" i="3"/>
  <c r="BX50" i="3" s="1"/>
  <c r="BY50" i="3" s="1"/>
  <c r="BZ50" i="3" s="1"/>
  <c r="CA50" i="3" s="1"/>
  <c r="CB50" i="3" s="1"/>
  <c r="CC50" i="3" s="1"/>
  <c r="CD50" i="3" s="1"/>
  <c r="CE50" i="3" s="1"/>
  <c r="CF50" i="3" s="1"/>
  <c r="CG50" i="3" s="1"/>
  <c r="CH50" i="3" s="1"/>
  <c r="CI50" i="3" s="1"/>
  <c r="CJ50" i="3" s="1"/>
  <c r="CK50" i="3" s="1"/>
  <c r="CL50" i="3" s="1"/>
  <c r="CM50" i="3" s="1"/>
  <c r="CN50" i="3" s="1"/>
  <c r="CO50" i="3" s="1"/>
  <c r="CP50" i="3" s="1"/>
  <c r="CQ50" i="3" s="1"/>
  <c r="CR50" i="3" s="1"/>
  <c r="DE58" i="3"/>
  <c r="DF58" i="3" s="1"/>
  <c r="DE50" i="3"/>
  <c r="DE54" i="3"/>
  <c r="DE47" i="3"/>
  <c r="DE63" i="3"/>
  <c r="CS67" i="3"/>
  <c r="CT67" i="3" s="1"/>
  <c r="CU67" i="3" s="1"/>
  <c r="CV67" i="3" s="1"/>
  <c r="CW67" i="3" s="1"/>
  <c r="CX67" i="3" s="1"/>
  <c r="CY67" i="3" s="1"/>
  <c r="CO46" i="3"/>
  <c r="CP46" i="3" s="1"/>
  <c r="CQ46" i="3" s="1"/>
  <c r="CR46" i="3" s="1"/>
  <c r="CS46" i="3" s="1"/>
  <c r="CT46" i="3" s="1"/>
  <c r="CU46" i="3" s="1"/>
  <c r="CV46" i="3" s="1"/>
  <c r="CS50" i="3"/>
  <c r="CT50" i="3" s="1"/>
  <c r="CU50" i="3" s="1"/>
  <c r="CV50" i="3" s="1"/>
  <c r="CW50" i="3" s="1"/>
  <c r="CX50" i="3" s="1"/>
  <c r="CY50" i="3" s="1"/>
  <c r="DF60" i="3" l="1"/>
  <c r="DG60" i="3" s="1"/>
  <c r="DH60" i="3" s="1"/>
  <c r="DF68" i="3"/>
  <c r="DG68" i="3" s="1"/>
  <c r="DH68" i="3" s="1"/>
  <c r="DI68" i="3" s="1"/>
  <c r="DJ68" i="3" s="1"/>
  <c r="DK68" i="3" s="1"/>
  <c r="DL68" i="3" s="1"/>
  <c r="DM68" i="3" s="1"/>
  <c r="DN68" i="3" s="1"/>
  <c r="DO68" i="3" s="1"/>
  <c r="DP68" i="3" s="1"/>
  <c r="DQ68" i="3" s="1"/>
  <c r="DR68" i="3" s="1"/>
  <c r="DS68" i="3" s="1"/>
  <c r="DT68" i="3" s="1"/>
  <c r="DU68" i="3" s="1"/>
  <c r="DV68" i="3" s="1"/>
  <c r="DW68" i="3" s="1"/>
  <c r="DX68" i="3" s="1"/>
  <c r="DY68" i="3" s="1"/>
  <c r="DZ68" i="3" s="1"/>
  <c r="EA68" i="3" s="1"/>
  <c r="EB68" i="3" s="1"/>
  <c r="EC68" i="3" s="1"/>
  <c r="ED68" i="3" s="1"/>
  <c r="DF39" i="3"/>
  <c r="DG39" i="3" s="1"/>
  <c r="DH39" i="3" s="1"/>
  <c r="DI39" i="3" s="1"/>
  <c r="DJ39" i="3" s="1"/>
  <c r="DK39" i="3" s="1"/>
  <c r="DL39" i="3" s="1"/>
  <c r="DM39" i="3" s="1"/>
  <c r="DN39" i="3" s="1"/>
  <c r="DO39" i="3" s="1"/>
  <c r="DP39" i="3" s="1"/>
  <c r="DQ39" i="3" s="1"/>
  <c r="DR39" i="3" s="1"/>
  <c r="DS39" i="3" s="1"/>
  <c r="DT39" i="3" s="1"/>
  <c r="DU39" i="3" s="1"/>
  <c r="DV39" i="3" s="1"/>
  <c r="DW39" i="3" s="1"/>
  <c r="DX39" i="3" s="1"/>
  <c r="DY39" i="3" s="1"/>
  <c r="DZ39" i="3" s="1"/>
  <c r="EA39" i="3" s="1"/>
  <c r="EB39" i="3" s="1"/>
  <c r="EC39" i="3" s="1"/>
  <c r="ED39" i="3" s="1"/>
  <c r="EE39" i="3" s="1"/>
  <c r="EF39" i="3" s="1"/>
  <c r="EG39" i="3" s="1"/>
  <c r="DE53" i="3"/>
  <c r="DF53" i="3" s="1"/>
  <c r="DG53" i="3" s="1"/>
  <c r="DH53" i="3" s="1"/>
  <c r="DI53" i="3" s="1"/>
  <c r="DJ53" i="3" s="1"/>
  <c r="DK53" i="3" s="1"/>
  <c r="DL53" i="3" s="1"/>
  <c r="DM53" i="3" s="1"/>
  <c r="DN53" i="3" s="1"/>
  <c r="DO53" i="3" s="1"/>
  <c r="DP53" i="3" s="1"/>
  <c r="DQ53" i="3" s="1"/>
  <c r="DR53" i="3" s="1"/>
  <c r="DS53" i="3" s="1"/>
  <c r="DT53" i="3" s="1"/>
  <c r="DU53" i="3" s="1"/>
  <c r="DV53" i="3" s="1"/>
  <c r="DW53" i="3" s="1"/>
  <c r="DX53" i="3" s="1"/>
  <c r="DY53" i="3" s="1"/>
  <c r="DZ53" i="3" s="1"/>
  <c r="EA53" i="3" s="1"/>
  <c r="EB53" i="3" s="1"/>
  <c r="EC53" i="3" s="1"/>
  <c r="ED53" i="3" s="1"/>
  <c r="EE53" i="3" s="1"/>
  <c r="EF53" i="3" s="1"/>
  <c r="EG53" i="3" s="1"/>
  <c r="EH53" i="3" s="1"/>
  <c r="CT103" i="3"/>
  <c r="CT102" i="3" s="1"/>
  <c r="CT101" i="3" s="1"/>
  <c r="CT100" i="3" s="1"/>
  <c r="CT99" i="3" s="1"/>
  <c r="CT98" i="3" s="1"/>
  <c r="CT97" i="3" s="1"/>
  <c r="CT96" i="3" s="1"/>
  <c r="CT95" i="3" s="1"/>
  <c r="CT94" i="3" s="1"/>
  <c r="CT93" i="3" s="1"/>
  <c r="CT92" i="3" s="1"/>
  <c r="CT91" i="3" s="1"/>
  <c r="CT90" i="3" s="1"/>
  <c r="CT89" i="3" s="1"/>
  <c r="CT88" i="3" s="1"/>
  <c r="CT87" i="3" s="1"/>
  <c r="CT86" i="3" s="1"/>
  <c r="CT85" i="3" s="1"/>
  <c r="CT84" i="3" s="1"/>
  <c r="CT83" i="3" s="1"/>
  <c r="CT82" i="3" s="1"/>
  <c r="CT81" i="3" s="1"/>
  <c r="CT80" i="3" s="1"/>
  <c r="CT79" i="3" s="1"/>
  <c r="CT78" i="3" s="1"/>
  <c r="CT77" i="3" s="1"/>
  <c r="CT76" i="3" s="1"/>
  <c r="CT75" i="3" s="1"/>
  <c r="CT74" i="3" s="1"/>
  <c r="CG103" i="3"/>
  <c r="CG102" i="3" s="1"/>
  <c r="CG101" i="3" s="1"/>
  <c r="CG100" i="3" s="1"/>
  <c r="CG99" i="3" s="1"/>
  <c r="CG98" i="3" s="1"/>
  <c r="CG97" i="3" s="1"/>
  <c r="CG96" i="3" s="1"/>
  <c r="CG95" i="3" s="1"/>
  <c r="CG94" i="3" s="1"/>
  <c r="CG93" i="3" s="1"/>
  <c r="CG92" i="3" s="1"/>
  <c r="CG91" i="3" s="1"/>
  <c r="CG90" i="3" s="1"/>
  <c r="CG89" i="3" s="1"/>
  <c r="CG88" i="3" s="1"/>
  <c r="CG87" i="3" s="1"/>
  <c r="CG86" i="3" s="1"/>
  <c r="CG85" i="3" s="1"/>
  <c r="CG84" i="3" s="1"/>
  <c r="CG83" i="3" s="1"/>
  <c r="CG82" i="3" s="1"/>
  <c r="CG81" i="3" s="1"/>
  <c r="CG80" i="3" s="1"/>
  <c r="CG79" i="3" s="1"/>
  <c r="CG78" i="3" s="1"/>
  <c r="CG77" i="3" s="1"/>
  <c r="CG76" i="3" s="1"/>
  <c r="CG75" i="3" s="1"/>
  <c r="CG74" i="3" s="1"/>
  <c r="BW60" i="3"/>
  <c r="BX60" i="3" s="1"/>
  <c r="BY60" i="3" s="1"/>
  <c r="BW39" i="3"/>
  <c r="BW41" i="3"/>
  <c r="BX41" i="3" s="1"/>
  <c r="BY41" i="3" s="1"/>
  <c r="BZ41" i="3" s="1"/>
  <c r="CA41" i="3" s="1"/>
  <c r="CB41" i="3" s="1"/>
  <c r="CC41" i="3" s="1"/>
  <c r="CD41" i="3" s="1"/>
  <c r="CE41" i="3" s="1"/>
  <c r="CF41" i="3" s="1"/>
  <c r="CG41" i="3" s="1"/>
  <c r="CH41" i="3" s="1"/>
  <c r="CI41" i="3" s="1"/>
  <c r="CJ41" i="3" s="1"/>
  <c r="CK41" i="3" s="1"/>
  <c r="CL41" i="3" s="1"/>
  <c r="CM41" i="3" s="1"/>
  <c r="CN41" i="3" s="1"/>
  <c r="CO41" i="3" s="1"/>
  <c r="CP41" i="3" s="1"/>
  <c r="CQ41" i="3" s="1"/>
  <c r="CR41" i="3" s="1"/>
  <c r="CS41" i="3" s="1"/>
  <c r="CT41" i="3" s="1"/>
  <c r="CU41" i="3" s="1"/>
  <c r="CV41" i="3" s="1"/>
  <c r="CW41" i="3" s="1"/>
  <c r="BX103" i="3"/>
  <c r="BX102" i="3" s="1"/>
  <c r="BX101" i="3" s="1"/>
  <c r="BX100" i="3" s="1"/>
  <c r="BX99" i="3" s="1"/>
  <c r="BX98" i="3" s="1"/>
  <c r="BX97" i="3" s="1"/>
  <c r="BX96" i="3" s="1"/>
  <c r="BX95" i="3" s="1"/>
  <c r="BX94" i="3" s="1"/>
  <c r="BX93" i="3" s="1"/>
  <c r="BX92" i="3" s="1"/>
  <c r="BX91" i="3" s="1"/>
  <c r="BX90" i="3" s="1"/>
  <c r="BX89" i="3" s="1"/>
  <c r="BX88" i="3" s="1"/>
  <c r="BX87" i="3" s="1"/>
  <c r="BX86" i="3" s="1"/>
  <c r="BX85" i="3" s="1"/>
  <c r="BX84" i="3" s="1"/>
  <c r="BX83" i="3" s="1"/>
  <c r="BX82" i="3" s="1"/>
  <c r="BX81" i="3" s="1"/>
  <c r="BX80" i="3" s="1"/>
  <c r="BX79" i="3" s="1"/>
  <c r="BX78" i="3" s="1"/>
  <c r="BX77" i="3" s="1"/>
  <c r="BX76" i="3" s="1"/>
  <c r="BX75" i="3" s="1"/>
  <c r="BX74" i="3" s="1"/>
  <c r="CA103" i="3"/>
  <c r="CA102" i="3" s="1"/>
  <c r="CA101" i="3" s="1"/>
  <c r="CA100" i="3" s="1"/>
  <c r="CA99" i="3" s="1"/>
  <c r="CA98" i="3" s="1"/>
  <c r="CA97" i="3" s="1"/>
  <c r="CA96" i="3" s="1"/>
  <c r="CA95" i="3" s="1"/>
  <c r="CA94" i="3" s="1"/>
  <c r="CA93" i="3" s="1"/>
  <c r="CA92" i="3" s="1"/>
  <c r="CA91" i="3" s="1"/>
  <c r="CA90" i="3" s="1"/>
  <c r="CA89" i="3" s="1"/>
  <c r="CA88" i="3" s="1"/>
  <c r="CA87" i="3" s="1"/>
  <c r="CA86" i="3" s="1"/>
  <c r="CA85" i="3" s="1"/>
  <c r="CA84" i="3" s="1"/>
  <c r="CA83" i="3" s="1"/>
  <c r="CA82" i="3" s="1"/>
  <c r="CA81" i="3" s="1"/>
  <c r="CA80" i="3" s="1"/>
  <c r="CA79" i="3" s="1"/>
  <c r="CA78" i="3" s="1"/>
  <c r="CA77" i="3" s="1"/>
  <c r="CA76" i="3" s="1"/>
  <c r="CA75" i="3" s="1"/>
  <c r="CA74" i="3" s="1"/>
  <c r="CF103" i="3"/>
  <c r="DE64" i="3"/>
  <c r="BW68" i="3"/>
  <c r="BX68" i="3" s="1"/>
  <c r="BY68" i="3" s="1"/>
  <c r="BZ68" i="3" s="1"/>
  <c r="CA68" i="3" s="1"/>
  <c r="CB68" i="3" s="1"/>
  <c r="CC68" i="3" s="1"/>
  <c r="CD68" i="3" s="1"/>
  <c r="CE68" i="3" s="1"/>
  <c r="CF68" i="3" s="1"/>
  <c r="CG68" i="3" s="1"/>
  <c r="CH68" i="3" s="1"/>
  <c r="CI68" i="3" s="1"/>
  <c r="CJ68" i="3" s="1"/>
  <c r="CK68" i="3" s="1"/>
  <c r="CL68" i="3" s="1"/>
  <c r="CM68" i="3" s="1"/>
  <c r="CN68" i="3" s="1"/>
  <c r="CO68" i="3" s="1"/>
  <c r="CP68" i="3" s="1"/>
  <c r="CQ68" i="3" s="1"/>
  <c r="CR68" i="3" s="1"/>
  <c r="CS68" i="3" s="1"/>
  <c r="CT68" i="3" s="1"/>
  <c r="CU68" i="3" s="1"/>
  <c r="CQ103" i="3"/>
  <c r="CQ102" i="3" s="1"/>
  <c r="CQ101" i="3" s="1"/>
  <c r="CQ100" i="3" s="1"/>
  <c r="CQ99" i="3" s="1"/>
  <c r="CQ98" i="3" s="1"/>
  <c r="CQ97" i="3" s="1"/>
  <c r="CQ96" i="3" s="1"/>
  <c r="CQ95" i="3" s="1"/>
  <c r="CQ94" i="3" s="1"/>
  <c r="CQ93" i="3" s="1"/>
  <c r="CQ92" i="3" s="1"/>
  <c r="CQ91" i="3" s="1"/>
  <c r="CQ90" i="3" s="1"/>
  <c r="CQ89" i="3" s="1"/>
  <c r="CQ88" i="3" s="1"/>
  <c r="CQ87" i="3" s="1"/>
  <c r="CQ86" i="3" s="1"/>
  <c r="CQ85" i="3" s="1"/>
  <c r="CQ84" i="3" s="1"/>
  <c r="CQ83" i="3" s="1"/>
  <c r="CQ82" i="3" s="1"/>
  <c r="CQ81" i="3" s="1"/>
  <c r="CQ80" i="3" s="1"/>
  <c r="CQ79" i="3" s="1"/>
  <c r="CQ78" i="3" s="1"/>
  <c r="CQ77" i="3" s="1"/>
  <c r="CQ76" i="3" s="1"/>
  <c r="CQ75" i="3" s="1"/>
  <c r="CQ74" i="3" s="1"/>
  <c r="DE41" i="3"/>
  <c r="CW103" i="3"/>
  <c r="CW102" i="3" s="1"/>
  <c r="CW101" i="3" s="1"/>
  <c r="CW100" i="3" s="1"/>
  <c r="CW99" i="3" s="1"/>
  <c r="CW98" i="3" s="1"/>
  <c r="CW97" i="3" s="1"/>
  <c r="CW96" i="3" s="1"/>
  <c r="CW95" i="3" s="1"/>
  <c r="CW94" i="3" s="1"/>
  <c r="CW93" i="3" s="1"/>
  <c r="CW92" i="3" s="1"/>
  <c r="CW91" i="3" s="1"/>
  <c r="CW90" i="3" s="1"/>
  <c r="CW89" i="3" s="1"/>
  <c r="CW88" i="3" s="1"/>
  <c r="CW87" i="3" s="1"/>
  <c r="CW86" i="3" s="1"/>
  <c r="CW85" i="3" s="1"/>
  <c r="CW84" i="3" s="1"/>
  <c r="CW83" i="3" s="1"/>
  <c r="CW82" i="3" s="1"/>
  <c r="CW81" i="3" s="1"/>
  <c r="CW80" i="3" s="1"/>
  <c r="CW79" i="3" s="1"/>
  <c r="CW78" i="3" s="1"/>
  <c r="CW77" i="3" s="1"/>
  <c r="CW76" i="3" s="1"/>
  <c r="CW75" i="3" s="1"/>
  <c r="CW74" i="3" s="1"/>
  <c r="BW65" i="3"/>
  <c r="BX65" i="3" s="1"/>
  <c r="BY65" i="3" s="1"/>
  <c r="BZ65" i="3" s="1"/>
  <c r="CA65" i="3" s="1"/>
  <c r="CB65" i="3" s="1"/>
  <c r="CC65" i="3" s="1"/>
  <c r="CD65" i="3" s="1"/>
  <c r="CE65" i="3" s="1"/>
  <c r="CF65" i="3" s="1"/>
  <c r="CG65" i="3" s="1"/>
  <c r="CH65" i="3" s="1"/>
  <c r="CI65" i="3" s="1"/>
  <c r="CJ65" i="3" s="1"/>
  <c r="CK65" i="3" s="1"/>
  <c r="CL65" i="3" s="1"/>
  <c r="CM65" i="3" s="1"/>
  <c r="CN65" i="3" s="1"/>
  <c r="CO65" i="3" s="1"/>
  <c r="CP65" i="3" s="1"/>
  <c r="CQ65" i="3" s="1"/>
  <c r="CR65" i="3" s="1"/>
  <c r="CS65" i="3" s="1"/>
  <c r="CT65" i="3" s="1"/>
  <c r="CU65" i="3" s="1"/>
  <c r="CV65" i="3" s="1"/>
  <c r="CW65" i="3" s="1"/>
  <c r="CX65" i="3" s="1"/>
  <c r="CY65" i="3" s="1"/>
  <c r="BW40" i="3"/>
  <c r="BX40" i="3" s="1"/>
  <c r="BY40" i="3" s="1"/>
  <c r="BZ40" i="3" s="1"/>
  <c r="CA40" i="3" s="1"/>
  <c r="CB40" i="3" s="1"/>
  <c r="CC40" i="3" s="1"/>
  <c r="CD40" i="3" s="1"/>
  <c r="CE40" i="3" s="1"/>
  <c r="CF40" i="3" s="1"/>
  <c r="CG40" i="3" s="1"/>
  <c r="CH40" i="3" s="1"/>
  <c r="CI40" i="3" s="1"/>
  <c r="CJ40" i="3" s="1"/>
  <c r="CK40" i="3" s="1"/>
  <c r="CL40" i="3" s="1"/>
  <c r="CM40" i="3" s="1"/>
  <c r="CN40" i="3" s="1"/>
  <c r="CO40" i="3" s="1"/>
  <c r="CP40" i="3" s="1"/>
  <c r="CQ40" i="3" s="1"/>
  <c r="CR40" i="3" s="1"/>
  <c r="CS40" i="3" s="1"/>
  <c r="CT40" i="3" s="1"/>
  <c r="CU40" i="3" s="1"/>
  <c r="CV40" i="3" s="1"/>
  <c r="CW40" i="3" s="1"/>
  <c r="CX40" i="3" s="1"/>
  <c r="CY40" i="3" s="1"/>
  <c r="DE61" i="3"/>
  <c r="DF61" i="3" s="1"/>
  <c r="DG61" i="3" s="1"/>
  <c r="DH61" i="3" s="1"/>
  <c r="DI61" i="3" s="1"/>
  <c r="DJ61" i="3" s="1"/>
  <c r="DK61" i="3" s="1"/>
  <c r="DL61" i="3" s="1"/>
  <c r="DM61" i="3" s="1"/>
  <c r="DN61" i="3" s="1"/>
  <c r="DO61" i="3" s="1"/>
  <c r="DP61" i="3" s="1"/>
  <c r="DQ61" i="3" s="1"/>
  <c r="DR61" i="3" s="1"/>
  <c r="DS61" i="3" s="1"/>
  <c r="DT61" i="3" s="1"/>
  <c r="DU61" i="3" s="1"/>
  <c r="DV61" i="3" s="1"/>
  <c r="DW61" i="3" s="1"/>
  <c r="DX61" i="3" s="1"/>
  <c r="DY61" i="3" s="1"/>
  <c r="DZ61" i="3" s="1"/>
  <c r="EA61" i="3" s="1"/>
  <c r="EB61" i="3" s="1"/>
  <c r="EC61" i="3" s="1"/>
  <c r="ED61" i="3" s="1"/>
  <c r="EE61" i="3" s="1"/>
  <c r="EF61" i="3" s="1"/>
  <c r="EG61" i="3" s="1"/>
  <c r="CN103" i="3"/>
  <c r="CN102" i="3" s="1"/>
  <c r="CN101" i="3" s="1"/>
  <c r="CN100" i="3" s="1"/>
  <c r="CN99" i="3" s="1"/>
  <c r="CN98" i="3" s="1"/>
  <c r="CN97" i="3" s="1"/>
  <c r="CN96" i="3" s="1"/>
  <c r="CN95" i="3" s="1"/>
  <c r="CN94" i="3" s="1"/>
  <c r="CN93" i="3" s="1"/>
  <c r="CN92" i="3" s="1"/>
  <c r="CN91" i="3" s="1"/>
  <c r="CN90" i="3" s="1"/>
  <c r="CN89" i="3" s="1"/>
  <c r="CN88" i="3" s="1"/>
  <c r="CN87" i="3" s="1"/>
  <c r="CN86" i="3" s="1"/>
  <c r="CN85" i="3" s="1"/>
  <c r="CN84" i="3" s="1"/>
  <c r="CN83" i="3" s="1"/>
  <c r="CN82" i="3" s="1"/>
  <c r="CN81" i="3" s="1"/>
  <c r="CN80" i="3" s="1"/>
  <c r="CN79" i="3" s="1"/>
  <c r="CN78" i="3" s="1"/>
  <c r="CN77" i="3" s="1"/>
  <c r="CN76" i="3" s="1"/>
  <c r="CN75" i="3" s="1"/>
  <c r="CN74" i="3" s="1"/>
  <c r="BW66" i="3"/>
  <c r="BX66" i="3" s="1"/>
  <c r="BY66" i="3" s="1"/>
  <c r="BZ66" i="3" s="1"/>
  <c r="CA66" i="3" s="1"/>
  <c r="CB66" i="3" s="1"/>
  <c r="CC66" i="3" s="1"/>
  <c r="CD66" i="3" s="1"/>
  <c r="CE66" i="3" s="1"/>
  <c r="CF66" i="3" s="1"/>
  <c r="CG66" i="3" s="1"/>
  <c r="CH66" i="3" s="1"/>
  <c r="CI66" i="3" s="1"/>
  <c r="CJ66" i="3" s="1"/>
  <c r="CK66" i="3" s="1"/>
  <c r="CL66" i="3" s="1"/>
  <c r="CM66" i="3" s="1"/>
  <c r="CN66" i="3" s="1"/>
  <c r="CO66" i="3" s="1"/>
  <c r="CP66" i="3" s="1"/>
  <c r="CQ66" i="3" s="1"/>
  <c r="CR66" i="3" s="1"/>
  <c r="CS66" i="3" s="1"/>
  <c r="CT66" i="3" s="1"/>
  <c r="CU66" i="3" s="1"/>
  <c r="CV66" i="3" s="1"/>
  <c r="CW66" i="3" s="1"/>
  <c r="BX39" i="3"/>
  <c r="BY39" i="3" s="1"/>
  <c r="BZ39" i="3" s="1"/>
  <c r="CA39" i="3" s="1"/>
  <c r="CB39" i="3" s="1"/>
  <c r="CC39" i="3" s="1"/>
  <c r="CD39" i="3" s="1"/>
  <c r="CE39" i="3" s="1"/>
  <c r="CF39" i="3" s="1"/>
  <c r="CG39" i="3" s="1"/>
  <c r="CH39" i="3" s="1"/>
  <c r="CI39" i="3" s="1"/>
  <c r="CJ39" i="3" s="1"/>
  <c r="CK39" i="3" s="1"/>
  <c r="CL39" i="3" s="1"/>
  <c r="CM39" i="3" s="1"/>
  <c r="CN39" i="3" s="1"/>
  <c r="CO39" i="3" s="1"/>
  <c r="CP39" i="3" s="1"/>
  <c r="CQ39" i="3" s="1"/>
  <c r="CR39" i="3" s="1"/>
  <c r="CS39" i="3" s="1"/>
  <c r="CT39" i="3" s="1"/>
  <c r="CU39" i="3" s="1"/>
  <c r="CV39" i="3" s="1"/>
  <c r="CW39" i="3" s="1"/>
  <c r="CX39" i="3" s="1"/>
  <c r="DF50" i="3"/>
  <c r="DG50" i="3" s="1"/>
  <c r="DH50" i="3" s="1"/>
  <c r="DI50" i="3" s="1"/>
  <c r="DJ50" i="3" s="1"/>
  <c r="DK50" i="3" s="1"/>
  <c r="DL50" i="3" s="1"/>
  <c r="DM50" i="3" s="1"/>
  <c r="DN50" i="3" s="1"/>
  <c r="DO50" i="3" s="1"/>
  <c r="DP50" i="3" s="1"/>
  <c r="DQ50" i="3" s="1"/>
  <c r="DR50" i="3" s="1"/>
  <c r="DS50" i="3" s="1"/>
  <c r="DT50" i="3" s="1"/>
  <c r="DU50" i="3" s="1"/>
  <c r="DV50" i="3" s="1"/>
  <c r="DW50" i="3" s="1"/>
  <c r="DX50" i="3" s="1"/>
  <c r="DY50" i="3" s="1"/>
  <c r="DZ50" i="3" s="1"/>
  <c r="EA50" i="3" s="1"/>
  <c r="EB50" i="3" s="1"/>
  <c r="EC50" i="3" s="1"/>
  <c r="ED50" i="3" s="1"/>
  <c r="EE50" i="3" s="1"/>
  <c r="EF50" i="3" s="1"/>
  <c r="EG50" i="3" s="1"/>
  <c r="EH50" i="3" s="1"/>
  <c r="DF47" i="3"/>
  <c r="DD103" i="3"/>
  <c r="DD102" i="3" s="1"/>
  <c r="DD101" i="3" s="1"/>
  <c r="DD100" i="3" s="1"/>
  <c r="DD99" i="3" s="1"/>
  <c r="DD98" i="3" s="1"/>
  <c r="DD97" i="3" s="1"/>
  <c r="DD96" i="3" s="1"/>
  <c r="DD95" i="3" s="1"/>
  <c r="DD94" i="3" s="1"/>
  <c r="DD93" i="3" s="1"/>
  <c r="DD92" i="3" s="1"/>
  <c r="DD91" i="3" s="1"/>
  <c r="DD90" i="3" s="1"/>
  <c r="DD89" i="3" s="1"/>
  <c r="DD88" i="3" s="1"/>
  <c r="DD87" i="3" s="1"/>
  <c r="DD86" i="3" s="1"/>
  <c r="DD85" i="3" s="1"/>
  <c r="DD84" i="3" s="1"/>
  <c r="DD83" i="3" s="1"/>
  <c r="DD82" i="3" s="1"/>
  <c r="DD81" i="3" s="1"/>
  <c r="DD80" i="3" s="1"/>
  <c r="DD79" i="3" s="1"/>
  <c r="DD78" i="3" s="1"/>
  <c r="DD77" i="3" s="1"/>
  <c r="DD76" i="3" s="1"/>
  <c r="DD75" i="3" s="1"/>
  <c r="DD74" i="3" s="1"/>
  <c r="EH103" i="3"/>
  <c r="DE66" i="3"/>
  <c r="DE46" i="3"/>
  <c r="DF46" i="3" s="1"/>
  <c r="DG46" i="3" s="1"/>
  <c r="DH46" i="3" s="1"/>
  <c r="DI46" i="3" s="1"/>
  <c r="DJ46" i="3" s="1"/>
  <c r="DK46" i="3" s="1"/>
  <c r="DL46" i="3" s="1"/>
  <c r="DM46" i="3" s="1"/>
  <c r="DN46" i="3" s="1"/>
  <c r="DO46" i="3" s="1"/>
  <c r="DP46" i="3" s="1"/>
  <c r="DQ46" i="3" s="1"/>
  <c r="DR46" i="3" s="1"/>
  <c r="DS46" i="3" s="1"/>
  <c r="DT46" i="3" s="1"/>
  <c r="DU46" i="3" s="1"/>
  <c r="DV46" i="3" s="1"/>
  <c r="DW46" i="3" s="1"/>
  <c r="DX46" i="3" s="1"/>
  <c r="DY46" i="3" s="1"/>
  <c r="DZ46" i="3" s="1"/>
  <c r="EA46" i="3" s="1"/>
  <c r="EB46" i="3" s="1"/>
  <c r="EC46" i="3" s="1"/>
  <c r="ED46" i="3" s="1"/>
  <c r="EE46" i="3" s="1"/>
  <c r="DE42" i="3"/>
  <c r="DF42" i="3" s="1"/>
  <c r="DG42" i="3" s="1"/>
  <c r="DH42" i="3" s="1"/>
  <c r="DI42" i="3" s="1"/>
  <c r="DJ42" i="3" s="1"/>
  <c r="DK42" i="3" s="1"/>
  <c r="DL42" i="3" s="1"/>
  <c r="DM42" i="3" s="1"/>
  <c r="DN42" i="3" s="1"/>
  <c r="DO42" i="3" s="1"/>
  <c r="DP42" i="3" s="1"/>
  <c r="DQ42" i="3" s="1"/>
  <c r="DR42" i="3" s="1"/>
  <c r="CC103" i="3"/>
  <c r="CC102" i="3" s="1"/>
  <c r="CC101" i="3" s="1"/>
  <c r="CC100" i="3" s="1"/>
  <c r="CC99" i="3" s="1"/>
  <c r="CC98" i="3" s="1"/>
  <c r="CC97" i="3" s="1"/>
  <c r="CC96" i="3" s="1"/>
  <c r="CC95" i="3" s="1"/>
  <c r="CC94" i="3" s="1"/>
  <c r="CC93" i="3" s="1"/>
  <c r="CC92" i="3" s="1"/>
  <c r="CC91" i="3" s="1"/>
  <c r="CC90" i="3" s="1"/>
  <c r="CC89" i="3" s="1"/>
  <c r="CC88" i="3" s="1"/>
  <c r="CC87" i="3" s="1"/>
  <c r="CC86" i="3" s="1"/>
  <c r="CC85" i="3" s="1"/>
  <c r="CC84" i="3" s="1"/>
  <c r="CC83" i="3" s="1"/>
  <c r="CC82" i="3" s="1"/>
  <c r="CC81" i="3" s="1"/>
  <c r="CC80" i="3" s="1"/>
  <c r="CC79" i="3" s="1"/>
  <c r="CC78" i="3" s="1"/>
  <c r="CC77" i="3" s="1"/>
  <c r="CC76" i="3" s="1"/>
  <c r="CC75" i="3" s="1"/>
  <c r="CC74" i="3" s="1"/>
  <c r="DE49" i="3"/>
  <c r="DF49" i="3" s="1"/>
  <c r="DG49" i="3" s="1"/>
  <c r="DH49" i="3" s="1"/>
  <c r="DI49" i="3" s="1"/>
  <c r="DJ49" i="3" s="1"/>
  <c r="DK49" i="3" s="1"/>
  <c r="DL49" i="3" s="1"/>
  <c r="DM49" i="3" s="1"/>
  <c r="DN49" i="3" s="1"/>
  <c r="DO49" i="3" s="1"/>
  <c r="DP49" i="3" s="1"/>
  <c r="DQ49" i="3" s="1"/>
  <c r="DR49" i="3" s="1"/>
  <c r="DS49" i="3" s="1"/>
  <c r="DT49" i="3" s="1"/>
  <c r="DU49" i="3" s="1"/>
  <c r="DV49" i="3" s="1"/>
  <c r="DW49" i="3" s="1"/>
  <c r="DX49" i="3" s="1"/>
  <c r="DY49" i="3" s="1"/>
  <c r="DZ49" i="3" s="1"/>
  <c r="EA49" i="3" s="1"/>
  <c r="EB49" i="3" s="1"/>
  <c r="EC49" i="3" s="1"/>
  <c r="ED49" i="3" s="1"/>
  <c r="EE49" i="3" s="1"/>
  <c r="EF49" i="3" s="1"/>
  <c r="BW51" i="3"/>
  <c r="BX51" i="3" s="1"/>
  <c r="BY51" i="3" s="1"/>
  <c r="BZ51" i="3" s="1"/>
  <c r="CA51" i="3" s="1"/>
  <c r="CB51" i="3" s="1"/>
  <c r="CC51" i="3" s="1"/>
  <c r="CD51" i="3" s="1"/>
  <c r="CE51" i="3" s="1"/>
  <c r="CF51" i="3" s="1"/>
  <c r="CG51" i="3" s="1"/>
  <c r="CH51" i="3" s="1"/>
  <c r="CI51" i="3" s="1"/>
  <c r="CJ51" i="3" s="1"/>
  <c r="CK51" i="3" s="1"/>
  <c r="CL51" i="3" s="1"/>
  <c r="CM51" i="3" s="1"/>
  <c r="CN51" i="3" s="1"/>
  <c r="CO51" i="3" s="1"/>
  <c r="CP51" i="3" s="1"/>
  <c r="CQ51" i="3" s="1"/>
  <c r="CR51" i="3" s="1"/>
  <c r="CS51" i="3" s="1"/>
  <c r="CT51" i="3" s="1"/>
  <c r="CU51" i="3" s="1"/>
  <c r="CJ103" i="3"/>
  <c r="CJ102" i="3" s="1"/>
  <c r="CJ101" i="3" s="1"/>
  <c r="CJ100" i="3" s="1"/>
  <c r="CJ99" i="3" s="1"/>
  <c r="CJ98" i="3" s="1"/>
  <c r="CJ97" i="3" s="1"/>
  <c r="CJ96" i="3" s="1"/>
  <c r="CJ95" i="3" s="1"/>
  <c r="CJ94" i="3" s="1"/>
  <c r="CJ93" i="3" s="1"/>
  <c r="CJ92" i="3" s="1"/>
  <c r="CJ91" i="3" s="1"/>
  <c r="CJ90" i="3" s="1"/>
  <c r="CJ89" i="3" s="1"/>
  <c r="CJ88" i="3" s="1"/>
  <c r="CJ87" i="3" s="1"/>
  <c r="CJ86" i="3" s="1"/>
  <c r="CJ85" i="3" s="1"/>
  <c r="CJ84" i="3" s="1"/>
  <c r="CJ83" i="3" s="1"/>
  <c r="CJ82" i="3" s="1"/>
  <c r="CJ81" i="3" s="1"/>
  <c r="CJ80" i="3" s="1"/>
  <c r="CJ79" i="3" s="1"/>
  <c r="CJ78" i="3" s="1"/>
  <c r="CJ77" i="3" s="1"/>
  <c r="CJ76" i="3" s="1"/>
  <c r="CJ75" i="3" s="1"/>
  <c r="CJ74" i="3" s="1"/>
  <c r="DE56" i="3"/>
  <c r="DF56" i="3" s="1"/>
  <c r="DG56" i="3" s="1"/>
  <c r="DH56" i="3" s="1"/>
  <c r="DI56" i="3" s="1"/>
  <c r="DJ56" i="3" s="1"/>
  <c r="DK56" i="3" s="1"/>
  <c r="DL56" i="3" s="1"/>
  <c r="DM56" i="3" s="1"/>
  <c r="DN56" i="3" s="1"/>
  <c r="DO56" i="3" s="1"/>
  <c r="DP56" i="3" s="1"/>
  <c r="DQ56" i="3" s="1"/>
  <c r="DR56" i="3" s="1"/>
  <c r="DS56" i="3" s="1"/>
  <c r="DT56" i="3" s="1"/>
  <c r="DU56" i="3" s="1"/>
  <c r="DV56" i="3" s="1"/>
  <c r="DW56" i="3" s="1"/>
  <c r="DX56" i="3" s="1"/>
  <c r="DY56" i="3" s="1"/>
  <c r="DZ56" i="3" s="1"/>
  <c r="EA56" i="3" s="1"/>
  <c r="EB56" i="3" s="1"/>
  <c r="EC56" i="3" s="1"/>
  <c r="ED56" i="3" s="1"/>
  <c r="EE56" i="3" s="1"/>
  <c r="EF56" i="3" s="1"/>
  <c r="EG56" i="3" s="1"/>
  <c r="EH56" i="3" s="1"/>
  <c r="BW47" i="3"/>
  <c r="BX47" i="3" s="1"/>
  <c r="BY47" i="3" s="1"/>
  <c r="BZ47" i="3" s="1"/>
  <c r="CA47" i="3" s="1"/>
  <c r="CB47" i="3" s="1"/>
  <c r="CC47" i="3" s="1"/>
  <c r="CD47" i="3" s="1"/>
  <c r="CE47" i="3" s="1"/>
  <c r="CF47" i="3" s="1"/>
  <c r="CG47" i="3" s="1"/>
  <c r="CH47" i="3" s="1"/>
  <c r="CI47" i="3" s="1"/>
  <c r="CJ47" i="3" s="1"/>
  <c r="CK47" i="3" s="1"/>
  <c r="CL47" i="3" s="1"/>
  <c r="CM47" i="3" s="1"/>
  <c r="CN47" i="3" s="1"/>
  <c r="CO47" i="3" s="1"/>
  <c r="CP47" i="3" s="1"/>
  <c r="CQ47" i="3" s="1"/>
  <c r="CR47" i="3" s="1"/>
  <c r="CS47" i="3" s="1"/>
  <c r="CT47" i="3" s="1"/>
  <c r="CU47" i="3" s="1"/>
  <c r="CV47" i="3" s="1"/>
  <c r="CW47" i="3" s="1"/>
  <c r="CX47" i="3" s="1"/>
  <c r="CY47" i="3" s="1"/>
  <c r="BW55" i="3"/>
  <c r="BX55" i="3" s="1"/>
  <c r="BY55" i="3" s="1"/>
  <c r="BZ55" i="3" s="1"/>
  <c r="CA55" i="3" s="1"/>
  <c r="CB55" i="3" s="1"/>
  <c r="CC55" i="3" s="1"/>
  <c r="CD55" i="3" s="1"/>
  <c r="CE55" i="3" s="1"/>
  <c r="CF55" i="3" s="1"/>
  <c r="CG55" i="3" s="1"/>
  <c r="CH55" i="3" s="1"/>
  <c r="CI55" i="3" s="1"/>
  <c r="CJ55" i="3" s="1"/>
  <c r="CK55" i="3" s="1"/>
  <c r="CL55" i="3" s="1"/>
  <c r="CM55" i="3" s="1"/>
  <c r="CN55" i="3" s="1"/>
  <c r="CO55" i="3" s="1"/>
  <c r="CP55" i="3" s="1"/>
  <c r="CQ55" i="3" s="1"/>
  <c r="CR55" i="3" s="1"/>
  <c r="CS55" i="3" s="1"/>
  <c r="CT55" i="3" s="1"/>
  <c r="CU55" i="3" s="1"/>
  <c r="CV55" i="3" s="1"/>
  <c r="CW55" i="3" s="1"/>
  <c r="CX55" i="3" s="1"/>
  <c r="CY55" i="3" s="1"/>
  <c r="BZ103" i="3"/>
  <c r="BZ102" i="3" s="1"/>
  <c r="BZ101" i="3" s="1"/>
  <c r="BZ100" i="3" s="1"/>
  <c r="BZ99" i="3" s="1"/>
  <c r="BZ98" i="3" s="1"/>
  <c r="BZ97" i="3" s="1"/>
  <c r="BZ96" i="3" s="1"/>
  <c r="BZ95" i="3" s="1"/>
  <c r="BZ94" i="3" s="1"/>
  <c r="BZ93" i="3" s="1"/>
  <c r="BZ92" i="3" s="1"/>
  <c r="BZ91" i="3" s="1"/>
  <c r="BZ90" i="3" s="1"/>
  <c r="BZ89" i="3" s="1"/>
  <c r="BZ88" i="3" s="1"/>
  <c r="BZ87" i="3" s="1"/>
  <c r="BZ86" i="3" s="1"/>
  <c r="BZ85" i="3" s="1"/>
  <c r="BZ84" i="3" s="1"/>
  <c r="BZ83" i="3" s="1"/>
  <c r="BZ82" i="3" s="1"/>
  <c r="BZ81" i="3" s="1"/>
  <c r="BZ80" i="3" s="1"/>
  <c r="BZ79" i="3" s="1"/>
  <c r="BZ78" i="3" s="1"/>
  <c r="BZ77" i="3" s="1"/>
  <c r="BZ76" i="3" s="1"/>
  <c r="BZ75" i="3" s="1"/>
  <c r="BZ74" i="3" s="1"/>
  <c r="DE59" i="3"/>
  <c r="DF59" i="3" s="1"/>
  <c r="DG59" i="3" s="1"/>
  <c r="DH59" i="3" s="1"/>
  <c r="DI59" i="3" s="1"/>
  <c r="DJ59" i="3" s="1"/>
  <c r="DK59" i="3" s="1"/>
  <c r="DL59" i="3" s="1"/>
  <c r="DM59" i="3" s="1"/>
  <c r="DN59" i="3" s="1"/>
  <c r="DO59" i="3" s="1"/>
  <c r="DP59" i="3" s="1"/>
  <c r="DQ59" i="3" s="1"/>
  <c r="DR59" i="3" s="1"/>
  <c r="DS59" i="3" s="1"/>
  <c r="DT59" i="3" s="1"/>
  <c r="DU59" i="3" s="1"/>
  <c r="DV59" i="3" s="1"/>
  <c r="DW59" i="3" s="1"/>
  <c r="DX59" i="3" s="1"/>
  <c r="DY59" i="3" s="1"/>
  <c r="DZ59" i="3" s="1"/>
  <c r="EA59" i="3" s="1"/>
  <c r="EB59" i="3" s="1"/>
  <c r="EC59" i="3" s="1"/>
  <c r="ED59" i="3" s="1"/>
  <c r="EE59" i="3" s="1"/>
  <c r="EF59" i="3" s="1"/>
  <c r="EG59" i="3" s="1"/>
  <c r="EH59" i="3" s="1"/>
  <c r="CJ42" i="3"/>
  <c r="CK42" i="3" s="1"/>
  <c r="CL42" i="3" s="1"/>
  <c r="CM42" i="3" s="1"/>
  <c r="CN42" i="3" s="1"/>
  <c r="CO42" i="3" s="1"/>
  <c r="CP42" i="3" s="1"/>
  <c r="CQ42" i="3" s="1"/>
  <c r="CR42" i="3" s="1"/>
  <c r="CS42" i="3" s="1"/>
  <c r="CT42" i="3" s="1"/>
  <c r="CU42" i="3" s="1"/>
  <c r="CV42" i="3" s="1"/>
  <c r="CW42" i="3" s="1"/>
  <c r="CX42" i="3" s="1"/>
  <c r="CY42" i="3" s="1"/>
  <c r="CH103" i="3"/>
  <c r="CH102" i="3" s="1"/>
  <c r="CH101" i="3" s="1"/>
  <c r="CH100" i="3" s="1"/>
  <c r="CH99" i="3" s="1"/>
  <c r="CH98" i="3" s="1"/>
  <c r="CH97" i="3" s="1"/>
  <c r="CH96" i="3" s="1"/>
  <c r="CH95" i="3" s="1"/>
  <c r="CH94" i="3" s="1"/>
  <c r="CH93" i="3" s="1"/>
  <c r="CH92" i="3" s="1"/>
  <c r="CH91" i="3" s="1"/>
  <c r="CH90" i="3" s="1"/>
  <c r="CH89" i="3" s="1"/>
  <c r="CH88" i="3" s="1"/>
  <c r="CH87" i="3" s="1"/>
  <c r="CH86" i="3" s="1"/>
  <c r="CH85" i="3" s="1"/>
  <c r="CH84" i="3" s="1"/>
  <c r="CH83" i="3" s="1"/>
  <c r="CH82" i="3" s="1"/>
  <c r="CH81" i="3" s="1"/>
  <c r="CH80" i="3" s="1"/>
  <c r="CH79" i="3" s="1"/>
  <c r="CH78" i="3" s="1"/>
  <c r="CH77" i="3" s="1"/>
  <c r="CH76" i="3" s="1"/>
  <c r="CH75" i="3" s="1"/>
  <c r="CH74" i="3" s="1"/>
  <c r="BW59" i="3"/>
  <c r="BX59" i="3" s="1"/>
  <c r="BY59" i="3" s="1"/>
  <c r="BZ59" i="3" s="1"/>
  <c r="CA59" i="3" s="1"/>
  <c r="CB59" i="3" s="1"/>
  <c r="CC59" i="3" s="1"/>
  <c r="CD59" i="3" s="1"/>
  <c r="CE59" i="3" s="1"/>
  <c r="CF59" i="3" s="1"/>
  <c r="CG59" i="3" s="1"/>
  <c r="CH59" i="3" s="1"/>
  <c r="CI59" i="3" s="1"/>
  <c r="CJ59" i="3" s="1"/>
  <c r="CK59" i="3" s="1"/>
  <c r="CL59" i="3" s="1"/>
  <c r="CM59" i="3" s="1"/>
  <c r="CN59" i="3" s="1"/>
  <c r="CO59" i="3" s="1"/>
  <c r="CP59" i="3" s="1"/>
  <c r="CQ59" i="3" s="1"/>
  <c r="CR59" i="3" s="1"/>
  <c r="CS59" i="3" s="1"/>
  <c r="CT59" i="3" s="1"/>
  <c r="CU59" i="3" s="1"/>
  <c r="CV59" i="3" s="1"/>
  <c r="CW59" i="3" s="1"/>
  <c r="CX59" i="3" s="1"/>
  <c r="CV68" i="3"/>
  <c r="CW68" i="3" s="1"/>
  <c r="CX68" i="3" s="1"/>
  <c r="CY68" i="3" s="1"/>
  <c r="BW44" i="3"/>
  <c r="BX44" i="3" s="1"/>
  <c r="BY44" i="3" s="1"/>
  <c r="BZ44" i="3" s="1"/>
  <c r="CA44" i="3" s="1"/>
  <c r="CB44" i="3" s="1"/>
  <c r="CC44" i="3" s="1"/>
  <c r="CD44" i="3" s="1"/>
  <c r="CE44" i="3" s="1"/>
  <c r="CF44" i="3" s="1"/>
  <c r="CG44" i="3" s="1"/>
  <c r="CH44" i="3" s="1"/>
  <c r="CI44" i="3" s="1"/>
  <c r="CJ44" i="3" s="1"/>
  <c r="CK44" i="3" s="1"/>
  <c r="CL44" i="3" s="1"/>
  <c r="CM44" i="3" s="1"/>
  <c r="CN44" i="3" s="1"/>
  <c r="CO44" i="3" s="1"/>
  <c r="CP44" i="3" s="1"/>
  <c r="CQ44" i="3" s="1"/>
  <c r="CR44" i="3" s="1"/>
  <c r="CS44" i="3" s="1"/>
  <c r="CT44" i="3" s="1"/>
  <c r="CU44" i="3" s="1"/>
  <c r="CV44" i="3" s="1"/>
  <c r="CW44" i="3" s="1"/>
  <c r="CX44" i="3" s="1"/>
  <c r="CY44" i="3" s="1"/>
  <c r="CY53" i="3"/>
  <c r="DE43" i="3"/>
  <c r="DF43" i="3" s="1"/>
  <c r="DG43" i="3" s="1"/>
  <c r="DH43" i="3" s="1"/>
  <c r="DI43" i="3" s="1"/>
  <c r="DJ43" i="3" s="1"/>
  <c r="DK43" i="3" s="1"/>
  <c r="DL43" i="3" s="1"/>
  <c r="DM43" i="3" s="1"/>
  <c r="DN43" i="3" s="1"/>
  <c r="DE57" i="3"/>
  <c r="BX58" i="3"/>
  <c r="BY58" i="3" s="1"/>
  <c r="BZ58" i="3" s="1"/>
  <c r="CA58" i="3" s="1"/>
  <c r="CB58" i="3" s="1"/>
  <c r="CC58" i="3" s="1"/>
  <c r="CD58" i="3" s="1"/>
  <c r="CE58" i="3" s="1"/>
  <c r="CF58" i="3" s="1"/>
  <c r="CG58" i="3" s="1"/>
  <c r="CH58" i="3" s="1"/>
  <c r="CI58" i="3" s="1"/>
  <c r="CJ58" i="3" s="1"/>
  <c r="CK58" i="3" s="1"/>
  <c r="CL58" i="3" s="1"/>
  <c r="CM58" i="3" s="1"/>
  <c r="CN58" i="3" s="1"/>
  <c r="CO58" i="3" s="1"/>
  <c r="CP58" i="3" s="1"/>
  <c r="CQ58" i="3" s="1"/>
  <c r="CR58" i="3" s="1"/>
  <c r="CS58" i="3" s="1"/>
  <c r="CT58" i="3" s="1"/>
  <c r="CU58" i="3" s="1"/>
  <c r="CV58" i="3" s="1"/>
  <c r="CW58" i="3" s="1"/>
  <c r="CZ103" i="3"/>
  <c r="CZ102" i="3" s="1"/>
  <c r="CZ101" i="3" s="1"/>
  <c r="CZ100" i="3" s="1"/>
  <c r="CZ99" i="3" s="1"/>
  <c r="CZ98" i="3" s="1"/>
  <c r="CZ97" i="3" s="1"/>
  <c r="CZ96" i="3" s="1"/>
  <c r="CZ95" i="3" s="1"/>
  <c r="CZ94" i="3" s="1"/>
  <c r="CZ93" i="3" s="1"/>
  <c r="CZ92" i="3" s="1"/>
  <c r="CZ91" i="3" s="1"/>
  <c r="CZ90" i="3" s="1"/>
  <c r="CZ89" i="3" s="1"/>
  <c r="CZ88" i="3" s="1"/>
  <c r="CZ87" i="3" s="1"/>
  <c r="CZ86" i="3" s="1"/>
  <c r="CZ85" i="3" s="1"/>
  <c r="CZ84" i="3" s="1"/>
  <c r="CZ83" i="3" s="1"/>
  <c r="CZ82" i="3" s="1"/>
  <c r="CZ81" i="3" s="1"/>
  <c r="CZ80" i="3" s="1"/>
  <c r="CZ79" i="3" s="1"/>
  <c r="CZ78" i="3" s="1"/>
  <c r="CZ77" i="3" s="1"/>
  <c r="CZ76" i="3" s="1"/>
  <c r="CZ75" i="3" s="1"/>
  <c r="CZ74" i="3" s="1"/>
  <c r="DE62" i="3"/>
  <c r="DF62" i="3" s="1"/>
  <c r="DG62" i="3" s="1"/>
  <c r="DH62" i="3" s="1"/>
  <c r="DI62" i="3" s="1"/>
  <c r="DJ62" i="3" s="1"/>
  <c r="DK62" i="3" s="1"/>
  <c r="DL62" i="3" s="1"/>
  <c r="DM62" i="3" s="1"/>
  <c r="DN62" i="3" s="1"/>
  <c r="DO62" i="3" s="1"/>
  <c r="DP62" i="3" s="1"/>
  <c r="DQ62" i="3" s="1"/>
  <c r="DR62" i="3" s="1"/>
  <c r="DS62" i="3" s="1"/>
  <c r="DT62" i="3" s="1"/>
  <c r="DU62" i="3" s="1"/>
  <c r="DV62" i="3" s="1"/>
  <c r="DW62" i="3" s="1"/>
  <c r="DX62" i="3" s="1"/>
  <c r="DY62" i="3" s="1"/>
  <c r="DZ62" i="3" s="1"/>
  <c r="EA62" i="3" s="1"/>
  <c r="EB62" i="3" s="1"/>
  <c r="EC62" i="3" s="1"/>
  <c r="ED62" i="3" s="1"/>
  <c r="EE62" i="3" s="1"/>
  <c r="EF62" i="3" s="1"/>
  <c r="EG62" i="3" s="1"/>
  <c r="EH62" i="3" s="1"/>
  <c r="BW54" i="3"/>
  <c r="BX54" i="3" s="1"/>
  <c r="BY54" i="3" s="1"/>
  <c r="BZ54" i="3" s="1"/>
  <c r="CA54" i="3" s="1"/>
  <c r="CB54" i="3" s="1"/>
  <c r="CC54" i="3" s="1"/>
  <c r="CD54" i="3" s="1"/>
  <c r="CE54" i="3" s="1"/>
  <c r="CF54" i="3" s="1"/>
  <c r="CG54" i="3" s="1"/>
  <c r="CH54" i="3" s="1"/>
  <c r="CI54" i="3" s="1"/>
  <c r="CJ54" i="3" s="1"/>
  <c r="CK54" i="3" s="1"/>
  <c r="CL54" i="3" s="1"/>
  <c r="CM54" i="3" s="1"/>
  <c r="CN54" i="3" s="1"/>
  <c r="CO54" i="3" s="1"/>
  <c r="CP54" i="3" s="1"/>
  <c r="CQ54" i="3" s="1"/>
  <c r="CR54" i="3" s="1"/>
  <c r="CS54" i="3" s="1"/>
  <c r="CT54" i="3" s="1"/>
  <c r="CU54" i="3" s="1"/>
  <c r="CV54" i="3" s="1"/>
  <c r="CW54" i="3" s="1"/>
  <c r="CX54" i="3" s="1"/>
  <c r="CY54" i="3" s="1"/>
  <c r="DE69" i="3"/>
  <c r="DF69" i="3" s="1"/>
  <c r="DG69" i="3" s="1"/>
  <c r="DH69" i="3" s="1"/>
  <c r="DI69" i="3" s="1"/>
  <c r="DJ69" i="3" s="1"/>
  <c r="DK69" i="3" s="1"/>
  <c r="DL69" i="3" s="1"/>
  <c r="DM69" i="3" s="1"/>
  <c r="DN69" i="3" s="1"/>
  <c r="DO69" i="3" s="1"/>
  <c r="DP69" i="3" s="1"/>
  <c r="DQ69" i="3" s="1"/>
  <c r="DR69" i="3" s="1"/>
  <c r="DS69" i="3" s="1"/>
  <c r="DT69" i="3" s="1"/>
  <c r="DU69" i="3" s="1"/>
  <c r="DV69" i="3" s="1"/>
  <c r="DW69" i="3" s="1"/>
  <c r="DX69" i="3" s="1"/>
  <c r="DY69" i="3" s="1"/>
  <c r="DZ69" i="3" s="1"/>
  <c r="EA69" i="3" s="1"/>
  <c r="EB69" i="3" s="1"/>
  <c r="EC69" i="3" s="1"/>
  <c r="ED69" i="3" s="1"/>
  <c r="EE69" i="3" s="1"/>
  <c r="EF69" i="3" s="1"/>
  <c r="EG69" i="3" s="1"/>
  <c r="AJ69" i="3" s="1"/>
  <c r="BQ104" i="3" s="1"/>
  <c r="DE52" i="3"/>
  <c r="DF52" i="3" s="1"/>
  <c r="DG52" i="3" s="1"/>
  <c r="DH52" i="3" s="1"/>
  <c r="DI52" i="3" s="1"/>
  <c r="DJ52" i="3" s="1"/>
  <c r="DK52" i="3" s="1"/>
  <c r="DL52" i="3" s="1"/>
  <c r="DM52" i="3" s="1"/>
  <c r="DN52" i="3" s="1"/>
  <c r="DO52" i="3" s="1"/>
  <c r="DP52" i="3" s="1"/>
  <c r="DQ52" i="3" s="1"/>
  <c r="DR52" i="3" s="1"/>
  <c r="DS52" i="3" s="1"/>
  <c r="DT52" i="3" s="1"/>
  <c r="DU52" i="3" s="1"/>
  <c r="DV52" i="3" s="1"/>
  <c r="DW52" i="3" s="1"/>
  <c r="DX52" i="3" s="1"/>
  <c r="DY52" i="3" s="1"/>
  <c r="DZ52" i="3" s="1"/>
  <c r="EA52" i="3" s="1"/>
  <c r="EB52" i="3" s="1"/>
  <c r="EC52" i="3" s="1"/>
  <c r="ED52" i="3" s="1"/>
  <c r="EE52" i="3" s="1"/>
  <c r="EF52" i="3" s="1"/>
  <c r="EG52" i="3" s="1"/>
  <c r="EH52" i="3" s="1"/>
  <c r="CP103" i="3"/>
  <c r="CP102" i="3" s="1"/>
  <c r="CP101" i="3" s="1"/>
  <c r="CP100" i="3" s="1"/>
  <c r="CP99" i="3" s="1"/>
  <c r="CP98" i="3" s="1"/>
  <c r="CP97" i="3" s="1"/>
  <c r="CP96" i="3" s="1"/>
  <c r="CP95" i="3" s="1"/>
  <c r="CP94" i="3" s="1"/>
  <c r="CP93" i="3" s="1"/>
  <c r="CP92" i="3" s="1"/>
  <c r="CP91" i="3" s="1"/>
  <c r="CP90" i="3" s="1"/>
  <c r="CP89" i="3" s="1"/>
  <c r="CP88" i="3" s="1"/>
  <c r="CP87" i="3" s="1"/>
  <c r="CP86" i="3" s="1"/>
  <c r="CP85" i="3" s="1"/>
  <c r="CP84" i="3" s="1"/>
  <c r="CP83" i="3" s="1"/>
  <c r="CP82" i="3" s="1"/>
  <c r="CP81" i="3" s="1"/>
  <c r="CP80" i="3" s="1"/>
  <c r="CP79" i="3" s="1"/>
  <c r="CP78" i="3" s="1"/>
  <c r="CP77" i="3" s="1"/>
  <c r="CP76" i="3" s="1"/>
  <c r="CP75" i="3" s="1"/>
  <c r="CP74" i="3" s="1"/>
  <c r="DE67" i="3"/>
  <c r="DF67" i="3" s="1"/>
  <c r="DG67" i="3" s="1"/>
  <c r="DH67" i="3" s="1"/>
  <c r="DI67" i="3" s="1"/>
  <c r="DJ67" i="3" s="1"/>
  <c r="DK67" i="3" s="1"/>
  <c r="DL67" i="3" s="1"/>
  <c r="DM67" i="3" s="1"/>
  <c r="DN67" i="3" s="1"/>
  <c r="DO67" i="3" s="1"/>
  <c r="DP67" i="3" s="1"/>
  <c r="DQ67" i="3" s="1"/>
  <c r="DR67" i="3" s="1"/>
  <c r="DS67" i="3" s="1"/>
  <c r="DT67" i="3" s="1"/>
  <c r="DU67" i="3" s="1"/>
  <c r="DV67" i="3" s="1"/>
  <c r="DW67" i="3" s="1"/>
  <c r="DX67" i="3" s="1"/>
  <c r="DY67" i="3" s="1"/>
  <c r="DZ67" i="3" s="1"/>
  <c r="EA67" i="3" s="1"/>
  <c r="EB67" i="3" s="1"/>
  <c r="EC67" i="3" s="1"/>
  <c r="ED67" i="3" s="1"/>
  <c r="EE67" i="3" s="1"/>
  <c r="EF67" i="3" s="1"/>
  <c r="EG67" i="3" s="1"/>
  <c r="EH67" i="3" s="1"/>
  <c r="BW49" i="3"/>
  <c r="BX49" i="3" s="1"/>
  <c r="BY49" i="3" s="1"/>
  <c r="BZ49" i="3" s="1"/>
  <c r="CA49" i="3" s="1"/>
  <c r="CB49" i="3" s="1"/>
  <c r="CC49" i="3" s="1"/>
  <c r="CD49" i="3" s="1"/>
  <c r="CE49" i="3" s="1"/>
  <c r="CF49" i="3" s="1"/>
  <c r="CG49" i="3" s="1"/>
  <c r="CH49" i="3" s="1"/>
  <c r="CI49" i="3" s="1"/>
  <c r="CJ49" i="3" s="1"/>
  <c r="CK49" i="3" s="1"/>
  <c r="CL49" i="3" s="1"/>
  <c r="CM49" i="3" s="1"/>
  <c r="CN49" i="3" s="1"/>
  <c r="CO49" i="3" s="1"/>
  <c r="CP49" i="3" s="1"/>
  <c r="CQ49" i="3" s="1"/>
  <c r="CR49" i="3" s="1"/>
  <c r="CS49" i="3" s="1"/>
  <c r="CT49" i="3" s="1"/>
  <c r="CU49" i="3" s="1"/>
  <c r="CV49" i="3" s="1"/>
  <c r="CW49" i="3" s="1"/>
  <c r="CX49" i="3" s="1"/>
  <c r="CY49" i="3" s="1"/>
  <c r="BW64" i="3"/>
  <c r="BX64" i="3" s="1"/>
  <c r="BY64" i="3" s="1"/>
  <c r="BZ64" i="3" s="1"/>
  <c r="CA64" i="3" s="1"/>
  <c r="CB64" i="3" s="1"/>
  <c r="CC64" i="3" s="1"/>
  <c r="CD64" i="3" s="1"/>
  <c r="CE64" i="3" s="1"/>
  <c r="CF64" i="3" s="1"/>
  <c r="CG64" i="3" s="1"/>
  <c r="CH64" i="3" s="1"/>
  <c r="CI64" i="3" s="1"/>
  <c r="CX103" i="3"/>
  <c r="CX102" i="3" s="1"/>
  <c r="CX101" i="3" s="1"/>
  <c r="CX100" i="3" s="1"/>
  <c r="CX99" i="3" s="1"/>
  <c r="CX98" i="3" s="1"/>
  <c r="CX97" i="3" s="1"/>
  <c r="CX96" i="3" s="1"/>
  <c r="CX95" i="3" s="1"/>
  <c r="CX94" i="3" s="1"/>
  <c r="CX93" i="3" s="1"/>
  <c r="CX92" i="3" s="1"/>
  <c r="CX91" i="3" s="1"/>
  <c r="CX90" i="3" s="1"/>
  <c r="CX89" i="3" s="1"/>
  <c r="CX88" i="3" s="1"/>
  <c r="CX87" i="3" s="1"/>
  <c r="CX86" i="3" s="1"/>
  <c r="CX85" i="3" s="1"/>
  <c r="CX84" i="3" s="1"/>
  <c r="CX83" i="3" s="1"/>
  <c r="CX82" i="3" s="1"/>
  <c r="CX81" i="3" s="1"/>
  <c r="CX80" i="3" s="1"/>
  <c r="CX79" i="3" s="1"/>
  <c r="CX78" i="3" s="1"/>
  <c r="CX77" i="3" s="1"/>
  <c r="CX76" i="3" s="1"/>
  <c r="CX75" i="3" s="1"/>
  <c r="CX74" i="3" s="1"/>
  <c r="DF54" i="3"/>
  <c r="DG54" i="3" s="1"/>
  <c r="DH54" i="3" s="1"/>
  <c r="DI54" i="3" s="1"/>
  <c r="DJ54" i="3" s="1"/>
  <c r="DK54" i="3" s="1"/>
  <c r="DL54" i="3" s="1"/>
  <c r="DM54" i="3" s="1"/>
  <c r="DN54" i="3" s="1"/>
  <c r="DO54" i="3" s="1"/>
  <c r="DP54" i="3" s="1"/>
  <c r="DQ54" i="3" s="1"/>
  <c r="DR54" i="3" s="1"/>
  <c r="DS54" i="3" s="1"/>
  <c r="DT54" i="3" s="1"/>
  <c r="DU54" i="3" s="1"/>
  <c r="DV54" i="3" s="1"/>
  <c r="DW54" i="3" s="1"/>
  <c r="CH60" i="3"/>
  <c r="CI60" i="3" s="1"/>
  <c r="CJ60" i="3" s="1"/>
  <c r="CK60" i="3" s="1"/>
  <c r="CL60" i="3" s="1"/>
  <c r="CM60" i="3" s="1"/>
  <c r="CN60" i="3" s="1"/>
  <c r="CO60" i="3" s="1"/>
  <c r="CP60" i="3" s="1"/>
  <c r="CQ60" i="3" s="1"/>
  <c r="CR60" i="3" s="1"/>
  <c r="CS60" i="3" s="1"/>
  <c r="CT60" i="3" s="1"/>
  <c r="CU60" i="3" s="1"/>
  <c r="CV60" i="3" s="1"/>
  <c r="CW60" i="3" s="1"/>
  <c r="CX60" i="3" s="1"/>
  <c r="CY60" i="3" s="1"/>
  <c r="CY69" i="3"/>
  <c r="DE40" i="3"/>
  <c r="CY61" i="3"/>
  <c r="DE48" i="3"/>
  <c r="DF48" i="3" s="1"/>
  <c r="DG48" i="3" s="1"/>
  <c r="DH48" i="3" s="1"/>
  <c r="DI48" i="3" s="1"/>
  <c r="DJ48" i="3" s="1"/>
  <c r="DK48" i="3" s="1"/>
  <c r="DL48" i="3" s="1"/>
  <c r="DM48" i="3" s="1"/>
  <c r="DN48" i="3" s="1"/>
  <c r="DO48" i="3" s="1"/>
  <c r="DP48" i="3" s="1"/>
  <c r="DQ48" i="3" s="1"/>
  <c r="DR48" i="3" s="1"/>
  <c r="DS48" i="3" s="1"/>
  <c r="DT48" i="3" s="1"/>
  <c r="DU48" i="3" s="1"/>
  <c r="DV48" i="3" s="1"/>
  <c r="DW48" i="3" s="1"/>
  <c r="DX48" i="3" s="1"/>
  <c r="DY48" i="3" s="1"/>
  <c r="DZ48" i="3" s="1"/>
  <c r="EA48" i="3" s="1"/>
  <c r="EB48" i="3" s="1"/>
  <c r="EC48" i="3" s="1"/>
  <c r="DE44" i="3"/>
  <c r="DF44" i="3" s="1"/>
  <c r="DG44" i="3" s="1"/>
  <c r="DH44" i="3" s="1"/>
  <c r="DI44" i="3" s="1"/>
  <c r="DJ44" i="3" s="1"/>
  <c r="DK44" i="3" s="1"/>
  <c r="DL44" i="3" s="1"/>
  <c r="DM44" i="3" s="1"/>
  <c r="DN44" i="3" s="1"/>
  <c r="DO44" i="3" s="1"/>
  <c r="DP44" i="3" s="1"/>
  <c r="DQ44" i="3" s="1"/>
  <c r="DR44" i="3" s="1"/>
  <c r="DS44" i="3" s="1"/>
  <c r="DT44" i="3" s="1"/>
  <c r="DU44" i="3" s="1"/>
  <c r="DV44" i="3" s="1"/>
  <c r="DW44" i="3" s="1"/>
  <c r="DX44" i="3" s="1"/>
  <c r="DY44" i="3" s="1"/>
  <c r="DZ44" i="3" s="1"/>
  <c r="EA44" i="3" s="1"/>
  <c r="EB44" i="3" s="1"/>
  <c r="EC44" i="3" s="1"/>
  <c r="ED44" i="3" s="1"/>
  <c r="EE44" i="3" s="1"/>
  <c r="EF44" i="3" s="1"/>
  <c r="EG44" i="3" s="1"/>
  <c r="CY39" i="3"/>
  <c r="CX66" i="3"/>
  <c r="CY66" i="3" s="1"/>
  <c r="CT45" i="3"/>
  <c r="CU45" i="3" s="1"/>
  <c r="CV45" i="3" s="1"/>
  <c r="CW45" i="3" s="1"/>
  <c r="CX45" i="3" s="1"/>
  <c r="CY45" i="3" s="1"/>
  <c r="CS103" i="3"/>
  <c r="CS102" i="3" s="1"/>
  <c r="CS101" i="3" s="1"/>
  <c r="CS100" i="3" s="1"/>
  <c r="CS99" i="3" s="1"/>
  <c r="CS98" i="3" s="1"/>
  <c r="CS97" i="3" s="1"/>
  <c r="CS96" i="3" s="1"/>
  <c r="CS95" i="3" s="1"/>
  <c r="CS94" i="3" s="1"/>
  <c r="CS93" i="3" s="1"/>
  <c r="CS92" i="3" s="1"/>
  <c r="CS91" i="3" s="1"/>
  <c r="CS90" i="3" s="1"/>
  <c r="CS89" i="3" s="1"/>
  <c r="CS88" i="3" s="1"/>
  <c r="CS87" i="3" s="1"/>
  <c r="CS86" i="3" s="1"/>
  <c r="CS85" i="3" s="1"/>
  <c r="CS84" i="3" s="1"/>
  <c r="CS83" i="3" s="1"/>
  <c r="CS82" i="3" s="1"/>
  <c r="CS81" i="3" s="1"/>
  <c r="CS80" i="3" s="1"/>
  <c r="CS79" i="3" s="1"/>
  <c r="CS78" i="3" s="1"/>
  <c r="CS77" i="3" s="1"/>
  <c r="CS76" i="3" s="1"/>
  <c r="CS75" i="3" s="1"/>
  <c r="CS74" i="3" s="1"/>
  <c r="CX41" i="3"/>
  <c r="CJ64" i="3"/>
  <c r="CK64" i="3" s="1"/>
  <c r="CL64" i="3" s="1"/>
  <c r="CM64" i="3" s="1"/>
  <c r="CN64" i="3" s="1"/>
  <c r="CO64" i="3" s="1"/>
  <c r="CP64" i="3" s="1"/>
  <c r="CQ64" i="3" s="1"/>
  <c r="CR64" i="3" s="1"/>
  <c r="CS64" i="3" s="1"/>
  <c r="CT64" i="3" s="1"/>
  <c r="CU64" i="3" s="1"/>
  <c r="CV64" i="3" s="1"/>
  <c r="CW64" i="3" s="1"/>
  <c r="CX64" i="3" s="1"/>
  <c r="CY64" i="3" s="1"/>
  <c r="DE55" i="3"/>
  <c r="DF55" i="3" s="1"/>
  <c r="DG55" i="3" s="1"/>
  <c r="DH55" i="3" s="1"/>
  <c r="DI55" i="3" s="1"/>
  <c r="DJ55" i="3" s="1"/>
  <c r="DK55" i="3" s="1"/>
  <c r="DL55" i="3" s="1"/>
  <c r="DM55" i="3" s="1"/>
  <c r="DN55" i="3" s="1"/>
  <c r="DO55" i="3" s="1"/>
  <c r="DP55" i="3" s="1"/>
  <c r="DQ55" i="3" s="1"/>
  <c r="DR55" i="3" s="1"/>
  <c r="DS55" i="3" s="1"/>
  <c r="DT55" i="3" s="1"/>
  <c r="DU55" i="3" s="1"/>
  <c r="DV55" i="3" s="1"/>
  <c r="DW55" i="3" s="1"/>
  <c r="DX55" i="3" s="1"/>
  <c r="DY55" i="3" s="1"/>
  <c r="DZ55" i="3" s="1"/>
  <c r="EA55" i="3" s="1"/>
  <c r="EB55" i="3" s="1"/>
  <c r="EC55" i="3" s="1"/>
  <c r="ED55" i="3" s="1"/>
  <c r="EE55" i="3" s="1"/>
  <c r="EF55" i="3" s="1"/>
  <c r="EG55" i="3" s="1"/>
  <c r="EH55" i="3" s="1"/>
  <c r="DE51" i="3"/>
  <c r="DF51" i="3" s="1"/>
  <c r="DG51" i="3" s="1"/>
  <c r="DH51" i="3" s="1"/>
  <c r="DI51" i="3" s="1"/>
  <c r="DJ51" i="3" s="1"/>
  <c r="DK51" i="3" s="1"/>
  <c r="DL51" i="3" s="1"/>
  <c r="DM51" i="3" s="1"/>
  <c r="DN51" i="3" s="1"/>
  <c r="DO51" i="3" s="1"/>
  <c r="DP51" i="3" s="1"/>
  <c r="DQ51" i="3" s="1"/>
  <c r="DR51" i="3" s="1"/>
  <c r="DS51" i="3" s="1"/>
  <c r="DT51" i="3" s="1"/>
  <c r="DU51" i="3" s="1"/>
  <c r="DV51" i="3" s="1"/>
  <c r="DW51" i="3" s="1"/>
  <c r="DX51" i="3" s="1"/>
  <c r="DY51" i="3" s="1"/>
  <c r="DZ51" i="3" s="1"/>
  <c r="EA51" i="3" s="1"/>
  <c r="EB51" i="3" s="1"/>
  <c r="EC51" i="3" s="1"/>
  <c r="ED51" i="3" s="1"/>
  <c r="EE51" i="3" s="1"/>
  <c r="EF51" i="3" s="1"/>
  <c r="EG51" i="3" s="1"/>
  <c r="BW43" i="3"/>
  <c r="BX43" i="3" s="1"/>
  <c r="BY43" i="3" s="1"/>
  <c r="BZ43" i="3" s="1"/>
  <c r="CA43" i="3" s="1"/>
  <c r="CB43" i="3" s="1"/>
  <c r="CC43" i="3" s="1"/>
  <c r="CD43" i="3" s="1"/>
  <c r="CE43" i="3" s="1"/>
  <c r="CF43" i="3" s="1"/>
  <c r="CG43" i="3" s="1"/>
  <c r="CH43" i="3" s="1"/>
  <c r="CI43" i="3" s="1"/>
  <c r="CJ43" i="3" s="1"/>
  <c r="CK43" i="3" s="1"/>
  <c r="CL43" i="3" s="1"/>
  <c r="CM43" i="3" s="1"/>
  <c r="CN43" i="3" s="1"/>
  <c r="CO43" i="3" s="1"/>
  <c r="CP43" i="3" s="1"/>
  <c r="CQ43" i="3" s="1"/>
  <c r="CR43" i="3" s="1"/>
  <c r="CS43" i="3" s="1"/>
  <c r="CT43" i="3" s="1"/>
  <c r="CU43" i="3" s="1"/>
  <c r="DE65" i="3"/>
  <c r="DF65" i="3" s="1"/>
  <c r="DG65" i="3" s="1"/>
  <c r="DH65" i="3" s="1"/>
  <c r="DI65" i="3" s="1"/>
  <c r="DJ65" i="3" s="1"/>
  <c r="DK65" i="3" s="1"/>
  <c r="DL65" i="3" s="1"/>
  <c r="BW63" i="3"/>
  <c r="BX63" i="3" s="1"/>
  <c r="BY63" i="3" s="1"/>
  <c r="BZ63" i="3" s="1"/>
  <c r="CA63" i="3" s="1"/>
  <c r="CB63" i="3" s="1"/>
  <c r="CC63" i="3" s="1"/>
  <c r="CD63" i="3" s="1"/>
  <c r="CE63" i="3" s="1"/>
  <c r="CF63" i="3" s="1"/>
  <c r="CG63" i="3" s="1"/>
  <c r="CH63" i="3" s="1"/>
  <c r="CI63" i="3" s="1"/>
  <c r="CJ63" i="3" s="1"/>
  <c r="CK63" i="3" s="1"/>
  <c r="CL63" i="3" s="1"/>
  <c r="CM63" i="3" s="1"/>
  <c r="CN63" i="3" s="1"/>
  <c r="CO63" i="3" s="1"/>
  <c r="CP63" i="3" s="1"/>
  <c r="CQ63" i="3" s="1"/>
  <c r="CR63" i="3" s="1"/>
  <c r="CS63" i="3" s="1"/>
  <c r="CT63" i="3" s="1"/>
  <c r="CU63" i="3" s="1"/>
  <c r="CV63" i="3" s="1"/>
  <c r="CW63" i="3" s="1"/>
  <c r="CX63" i="3" s="1"/>
  <c r="CY63" i="3" s="1"/>
  <c r="BZ60" i="3"/>
  <c r="CA60" i="3" s="1"/>
  <c r="CB60" i="3" s="1"/>
  <c r="CC60" i="3" s="1"/>
  <c r="CD60" i="3" s="1"/>
  <c r="CE60" i="3" s="1"/>
  <c r="CF60" i="3" s="1"/>
  <c r="CG60" i="3" s="1"/>
  <c r="BW103" i="3"/>
  <c r="BW102" i="3" s="1"/>
  <c r="BW101" i="3" s="1"/>
  <c r="BW100" i="3" s="1"/>
  <c r="BW99" i="3" s="1"/>
  <c r="BW98" i="3" s="1"/>
  <c r="BW97" i="3" s="1"/>
  <c r="BW96" i="3" s="1"/>
  <c r="BW95" i="3" s="1"/>
  <c r="BW94" i="3" s="1"/>
  <c r="BW93" i="3" s="1"/>
  <c r="BW92" i="3" s="1"/>
  <c r="BW91" i="3" s="1"/>
  <c r="BW90" i="3" s="1"/>
  <c r="BW89" i="3" s="1"/>
  <c r="BW88" i="3" s="1"/>
  <c r="BW87" i="3" s="1"/>
  <c r="BW86" i="3" s="1"/>
  <c r="BW85" i="3" s="1"/>
  <c r="BW84" i="3" s="1"/>
  <c r="BW83" i="3" s="1"/>
  <c r="BW82" i="3" s="1"/>
  <c r="BW81" i="3" s="1"/>
  <c r="BW80" i="3" s="1"/>
  <c r="BW79" i="3" s="1"/>
  <c r="BW78" i="3" s="1"/>
  <c r="BW77" i="3" s="1"/>
  <c r="BW76" i="3" s="1"/>
  <c r="BW75" i="3" s="1"/>
  <c r="BW74" i="3" s="1"/>
  <c r="BY103" i="3"/>
  <c r="BY102" i="3" s="1"/>
  <c r="BY101" i="3" s="1"/>
  <c r="BY100" i="3" s="1"/>
  <c r="BY99" i="3" s="1"/>
  <c r="BY98" i="3" s="1"/>
  <c r="BY97" i="3" s="1"/>
  <c r="BY96" i="3" s="1"/>
  <c r="BY95" i="3" s="1"/>
  <c r="BY94" i="3" s="1"/>
  <c r="BY93" i="3" s="1"/>
  <c r="BY92" i="3" s="1"/>
  <c r="BY91" i="3" s="1"/>
  <c r="BY90" i="3" s="1"/>
  <c r="BY89" i="3" s="1"/>
  <c r="BY88" i="3" s="1"/>
  <c r="BY87" i="3" s="1"/>
  <c r="BY86" i="3" s="1"/>
  <c r="BY85" i="3" s="1"/>
  <c r="BY84" i="3" s="1"/>
  <c r="BY83" i="3" s="1"/>
  <c r="BY82" i="3" s="1"/>
  <c r="BY81" i="3" s="1"/>
  <c r="BY80" i="3" s="1"/>
  <c r="BY79" i="3" s="1"/>
  <c r="BY78" i="3" s="1"/>
  <c r="BY77" i="3" s="1"/>
  <c r="BY76" i="3" s="1"/>
  <c r="BY75" i="3" s="1"/>
  <c r="BY74" i="3" s="1"/>
  <c r="BW57" i="3"/>
  <c r="BX57" i="3" s="1"/>
  <c r="BY57" i="3" s="1"/>
  <c r="BZ57" i="3" s="1"/>
  <c r="CA57" i="3" s="1"/>
  <c r="CB57" i="3" s="1"/>
  <c r="CC57" i="3" s="1"/>
  <c r="CD57" i="3" s="1"/>
  <c r="CE57" i="3" s="1"/>
  <c r="CF57" i="3" s="1"/>
  <c r="CG57" i="3" s="1"/>
  <c r="CH57" i="3" s="1"/>
  <c r="CI57" i="3" s="1"/>
  <c r="CJ57" i="3" s="1"/>
  <c r="CK57" i="3" s="1"/>
  <c r="CL57" i="3" s="1"/>
  <c r="CM57" i="3" s="1"/>
  <c r="CN57" i="3" s="1"/>
  <c r="CO57" i="3" s="1"/>
  <c r="CP57" i="3" s="1"/>
  <c r="CQ57" i="3" s="1"/>
  <c r="CR57" i="3" s="1"/>
  <c r="CS57" i="3" s="1"/>
  <c r="CT57" i="3" s="1"/>
  <c r="CU57" i="3" s="1"/>
  <c r="CV57" i="3" s="1"/>
  <c r="CW57" i="3" s="1"/>
  <c r="CV103" i="3"/>
  <c r="CV102" i="3" s="1"/>
  <c r="CV101" i="3" s="1"/>
  <c r="CV100" i="3" s="1"/>
  <c r="CV99" i="3" s="1"/>
  <c r="CV98" i="3" s="1"/>
  <c r="CV97" i="3" s="1"/>
  <c r="CV96" i="3" s="1"/>
  <c r="CV95" i="3" s="1"/>
  <c r="CV94" i="3" s="1"/>
  <c r="CV93" i="3" s="1"/>
  <c r="CV92" i="3" s="1"/>
  <c r="CV91" i="3" s="1"/>
  <c r="CV90" i="3" s="1"/>
  <c r="CV89" i="3" s="1"/>
  <c r="CV88" i="3" s="1"/>
  <c r="CV87" i="3" s="1"/>
  <c r="CV86" i="3" s="1"/>
  <c r="CV85" i="3" s="1"/>
  <c r="CV84" i="3" s="1"/>
  <c r="CV83" i="3" s="1"/>
  <c r="CV82" i="3" s="1"/>
  <c r="CV81" i="3" s="1"/>
  <c r="CV80" i="3" s="1"/>
  <c r="CV79" i="3" s="1"/>
  <c r="CV78" i="3" s="1"/>
  <c r="CV77" i="3" s="1"/>
  <c r="CV76" i="3" s="1"/>
  <c r="CV75" i="3" s="1"/>
  <c r="CV74" i="3" s="1"/>
  <c r="CF102" i="3"/>
  <c r="CF101" i="3" s="1"/>
  <c r="CF100" i="3" s="1"/>
  <c r="CF99" i="3" s="1"/>
  <c r="CF98" i="3" s="1"/>
  <c r="CF97" i="3" s="1"/>
  <c r="CF96" i="3" s="1"/>
  <c r="CF95" i="3" s="1"/>
  <c r="CF94" i="3" s="1"/>
  <c r="CF93" i="3" s="1"/>
  <c r="CF92" i="3" s="1"/>
  <c r="CF91" i="3" s="1"/>
  <c r="CF90" i="3" s="1"/>
  <c r="CF89" i="3" s="1"/>
  <c r="CF88" i="3" s="1"/>
  <c r="CF87" i="3" s="1"/>
  <c r="CF86" i="3" s="1"/>
  <c r="CF85" i="3" s="1"/>
  <c r="CF84" i="3" s="1"/>
  <c r="CF83" i="3" s="1"/>
  <c r="CF82" i="3" s="1"/>
  <c r="CF81" i="3" s="1"/>
  <c r="CF80" i="3" s="1"/>
  <c r="CF79" i="3" s="1"/>
  <c r="CF78" i="3" s="1"/>
  <c r="CF77" i="3" s="1"/>
  <c r="CF76" i="3" s="1"/>
  <c r="CF75" i="3" s="1"/>
  <c r="CF74" i="3" s="1"/>
  <c r="CY41" i="3"/>
  <c r="CV51" i="3"/>
  <c r="CW51" i="3" s="1"/>
  <c r="CX51" i="3" s="1"/>
  <c r="CU48" i="3"/>
  <c r="CV48" i="3" s="1"/>
  <c r="CW48" i="3" s="1"/>
  <c r="CX48" i="3" s="1"/>
  <c r="CY48" i="3" s="1"/>
  <c r="CW46" i="3"/>
  <c r="CX46" i="3" s="1"/>
  <c r="CY46" i="3" s="1"/>
  <c r="CY59" i="3"/>
  <c r="CX57" i="3"/>
  <c r="AJ39" i="3" l="1"/>
  <c r="BQ74" i="3" s="1"/>
  <c r="AJ44" i="3"/>
  <c r="BQ79" i="3" s="1"/>
  <c r="AJ56" i="3"/>
  <c r="AI56" i="3" s="1"/>
  <c r="AJ61" i="3"/>
  <c r="BQ96" i="3" s="1"/>
  <c r="AJ53" i="3"/>
  <c r="BQ88" i="3" s="1"/>
  <c r="AJ55" i="3"/>
  <c r="AI55" i="3" s="1"/>
  <c r="BP90" i="3" s="1"/>
  <c r="AJ62" i="3"/>
  <c r="AI62" i="3" s="1"/>
  <c r="AJ67" i="3"/>
  <c r="BQ102" i="3" s="1"/>
  <c r="EG49" i="3"/>
  <c r="EH49" i="3" s="1"/>
  <c r="EH44" i="3"/>
  <c r="DF63" i="3"/>
  <c r="DG63" i="3" s="1"/>
  <c r="DH63" i="3" s="1"/>
  <c r="DI63" i="3" s="1"/>
  <c r="DJ63" i="3" s="1"/>
  <c r="DK63" i="3" s="1"/>
  <c r="DL63" i="3" s="1"/>
  <c r="DM63" i="3" s="1"/>
  <c r="DN63" i="3" s="1"/>
  <c r="DO63" i="3" s="1"/>
  <c r="DP63" i="3" s="1"/>
  <c r="DQ63" i="3" s="1"/>
  <c r="DR63" i="3" s="1"/>
  <c r="DS63" i="3" s="1"/>
  <c r="DT63" i="3" s="1"/>
  <c r="DU63" i="3" s="1"/>
  <c r="DV63" i="3" s="1"/>
  <c r="DW63" i="3" s="1"/>
  <c r="DX63" i="3" s="1"/>
  <c r="DY63" i="3" s="1"/>
  <c r="DZ63" i="3" s="1"/>
  <c r="EA63" i="3" s="1"/>
  <c r="EB63" i="3" s="1"/>
  <c r="EC63" i="3" s="1"/>
  <c r="ED63" i="3" s="1"/>
  <c r="EE63" i="3" s="1"/>
  <c r="EF63" i="3" s="1"/>
  <c r="EG63" i="3" s="1"/>
  <c r="EH63" i="3" s="1"/>
  <c r="DF41" i="3"/>
  <c r="DG41" i="3" s="1"/>
  <c r="DH41" i="3" s="1"/>
  <c r="DI41" i="3" s="1"/>
  <c r="DJ41" i="3" s="1"/>
  <c r="DK41" i="3" s="1"/>
  <c r="DL41" i="3" s="1"/>
  <c r="DM41" i="3" s="1"/>
  <c r="DN41" i="3" s="1"/>
  <c r="DO41" i="3" s="1"/>
  <c r="DP41" i="3" s="1"/>
  <c r="DQ41" i="3" s="1"/>
  <c r="DR41" i="3" s="1"/>
  <c r="DS41" i="3" s="1"/>
  <c r="DT41" i="3" s="1"/>
  <c r="DU41" i="3" s="1"/>
  <c r="DV41" i="3" s="1"/>
  <c r="DW41" i="3" s="1"/>
  <c r="DX41" i="3" s="1"/>
  <c r="DY41" i="3" s="1"/>
  <c r="DZ41" i="3" s="1"/>
  <c r="EA41" i="3" s="1"/>
  <c r="EB41" i="3" s="1"/>
  <c r="EC41" i="3" s="1"/>
  <c r="ED41" i="3" s="1"/>
  <c r="EE41" i="3" s="1"/>
  <c r="EF41" i="3" s="1"/>
  <c r="EG41" i="3" s="1"/>
  <c r="EH41" i="3" s="1"/>
  <c r="DX54" i="3"/>
  <c r="DY54" i="3" s="1"/>
  <c r="DZ54" i="3" s="1"/>
  <c r="EA54" i="3" s="1"/>
  <c r="EB54" i="3" s="1"/>
  <c r="EC54" i="3" s="1"/>
  <c r="ED54" i="3" s="1"/>
  <c r="EE54" i="3" s="1"/>
  <c r="EF54" i="3" s="1"/>
  <c r="EG54" i="3" s="1"/>
  <c r="EH54" i="3" s="1"/>
  <c r="EH39" i="3"/>
  <c r="AJ59" i="3"/>
  <c r="BQ94" i="3" s="1"/>
  <c r="ED48" i="3"/>
  <c r="EE48" i="3" s="1"/>
  <c r="EF48" i="3" s="1"/>
  <c r="EG48" i="3" s="1"/>
  <c r="EH48" i="3" s="1"/>
  <c r="EF46" i="3"/>
  <c r="EG46" i="3" s="1"/>
  <c r="EH46" i="3" s="1"/>
  <c r="EE68" i="3"/>
  <c r="EF68" i="3" s="1"/>
  <c r="EG68" i="3" s="1"/>
  <c r="AJ50" i="3"/>
  <c r="BQ85" i="3" s="1"/>
  <c r="DI60" i="3"/>
  <c r="DJ60" i="3" s="1"/>
  <c r="DK60" i="3" s="1"/>
  <c r="DL60" i="3" s="1"/>
  <c r="DM60" i="3" s="1"/>
  <c r="DN60" i="3" s="1"/>
  <c r="DO60" i="3" s="1"/>
  <c r="DP60" i="3" s="1"/>
  <c r="DQ60" i="3" s="1"/>
  <c r="DR60" i="3" s="1"/>
  <c r="DS60" i="3" s="1"/>
  <c r="DT60" i="3" s="1"/>
  <c r="DU60" i="3" s="1"/>
  <c r="DV60" i="3" s="1"/>
  <c r="DW60" i="3" s="1"/>
  <c r="DX60" i="3" s="1"/>
  <c r="DY60" i="3" s="1"/>
  <c r="DZ60" i="3" s="1"/>
  <c r="EA60" i="3" s="1"/>
  <c r="EB60" i="3" s="1"/>
  <c r="EC60" i="3" s="1"/>
  <c r="ED60" i="3" s="1"/>
  <c r="EE60" i="3" s="1"/>
  <c r="EF60" i="3" s="1"/>
  <c r="EG60" i="3" s="1"/>
  <c r="EH60" i="3" s="1"/>
  <c r="EH51" i="3"/>
  <c r="DS42" i="3"/>
  <c r="DT42" i="3" s="1"/>
  <c r="DU42" i="3" s="1"/>
  <c r="DV42" i="3" s="1"/>
  <c r="DW42" i="3" s="1"/>
  <c r="DX42" i="3" s="1"/>
  <c r="DY42" i="3" s="1"/>
  <c r="DZ42" i="3" s="1"/>
  <c r="EA42" i="3" s="1"/>
  <c r="EB42" i="3" s="1"/>
  <c r="EC42" i="3" s="1"/>
  <c r="ED42" i="3" s="1"/>
  <c r="EE42" i="3" s="1"/>
  <c r="EF42" i="3" s="1"/>
  <c r="EG42" i="3" s="1"/>
  <c r="EH42" i="3" s="1"/>
  <c r="DF66" i="3"/>
  <c r="DG66" i="3" s="1"/>
  <c r="DH66" i="3" s="1"/>
  <c r="DI66" i="3" s="1"/>
  <c r="DJ66" i="3" s="1"/>
  <c r="DK66" i="3" s="1"/>
  <c r="DL66" i="3" s="1"/>
  <c r="DM66" i="3" s="1"/>
  <c r="DN66" i="3" s="1"/>
  <c r="DO66" i="3" s="1"/>
  <c r="DP66" i="3" s="1"/>
  <c r="DQ66" i="3" s="1"/>
  <c r="DR66" i="3" s="1"/>
  <c r="DS66" i="3" s="1"/>
  <c r="DT66" i="3" s="1"/>
  <c r="DU66" i="3" s="1"/>
  <c r="DV66" i="3" s="1"/>
  <c r="DW66" i="3" s="1"/>
  <c r="DX66" i="3" s="1"/>
  <c r="DY66" i="3" s="1"/>
  <c r="DZ66" i="3" s="1"/>
  <c r="EA66" i="3" s="1"/>
  <c r="EB66" i="3" s="1"/>
  <c r="EC66" i="3" s="1"/>
  <c r="ED66" i="3" s="1"/>
  <c r="EE66" i="3" s="1"/>
  <c r="EF66" i="3" s="1"/>
  <c r="EG66" i="3" s="1"/>
  <c r="EH66" i="3" s="1"/>
  <c r="DG58" i="3"/>
  <c r="DH58" i="3" s="1"/>
  <c r="DI58" i="3" s="1"/>
  <c r="DJ58" i="3" s="1"/>
  <c r="DK58" i="3" s="1"/>
  <c r="DL58" i="3" s="1"/>
  <c r="DM58" i="3" s="1"/>
  <c r="DN58" i="3" s="1"/>
  <c r="DO58" i="3" s="1"/>
  <c r="DP58" i="3" s="1"/>
  <c r="DQ58" i="3" s="1"/>
  <c r="DR58" i="3" s="1"/>
  <c r="DS58" i="3" s="1"/>
  <c r="DT58" i="3" s="1"/>
  <c r="DU58" i="3" s="1"/>
  <c r="DV58" i="3" s="1"/>
  <c r="DW58" i="3" s="1"/>
  <c r="DX58" i="3" s="1"/>
  <c r="DY58" i="3" s="1"/>
  <c r="DZ58" i="3" s="1"/>
  <c r="EA58" i="3" s="1"/>
  <c r="EB58" i="3" s="1"/>
  <c r="EC58" i="3" s="1"/>
  <c r="ED58" i="3" s="1"/>
  <c r="EE58" i="3" s="1"/>
  <c r="EF58" i="3" s="1"/>
  <c r="DM65" i="3"/>
  <c r="DN65" i="3" s="1"/>
  <c r="DO65" i="3" s="1"/>
  <c r="DP65" i="3" s="1"/>
  <c r="DQ65" i="3" s="1"/>
  <c r="DR65" i="3" s="1"/>
  <c r="DS65" i="3" s="1"/>
  <c r="DT65" i="3" s="1"/>
  <c r="DU65" i="3" s="1"/>
  <c r="DV65" i="3" s="1"/>
  <c r="DW65" i="3" s="1"/>
  <c r="DX65" i="3" s="1"/>
  <c r="DY65" i="3" s="1"/>
  <c r="DZ65" i="3" s="1"/>
  <c r="EA65" i="3" s="1"/>
  <c r="EB65" i="3" s="1"/>
  <c r="EC65" i="3" s="1"/>
  <c r="ED65" i="3" s="1"/>
  <c r="EE65" i="3" s="1"/>
  <c r="EF65" i="3" s="1"/>
  <c r="EG65" i="3" s="1"/>
  <c r="EH65" i="3" s="1"/>
  <c r="DO43" i="3"/>
  <c r="DP43" i="3" s="1"/>
  <c r="DQ43" i="3" s="1"/>
  <c r="DR43" i="3" s="1"/>
  <c r="DS43" i="3" s="1"/>
  <c r="DT43" i="3" s="1"/>
  <c r="DU43" i="3" s="1"/>
  <c r="DV43" i="3" s="1"/>
  <c r="DW43" i="3" s="1"/>
  <c r="DX43" i="3" s="1"/>
  <c r="DY43" i="3" s="1"/>
  <c r="DZ43" i="3" s="1"/>
  <c r="EA43" i="3" s="1"/>
  <c r="EB43" i="3" s="1"/>
  <c r="EC43" i="3" s="1"/>
  <c r="ED43" i="3" s="1"/>
  <c r="EE43" i="3" s="1"/>
  <c r="EF43" i="3" s="1"/>
  <c r="EG43" i="3" s="1"/>
  <c r="AJ52" i="3"/>
  <c r="BQ87" i="3" s="1"/>
  <c r="DG47" i="3"/>
  <c r="DH47" i="3" s="1"/>
  <c r="DI47" i="3" s="1"/>
  <c r="DJ47" i="3" s="1"/>
  <c r="DK47" i="3" s="1"/>
  <c r="DL47" i="3" s="1"/>
  <c r="DM47" i="3" s="1"/>
  <c r="DN47" i="3" s="1"/>
  <c r="DO47" i="3" s="1"/>
  <c r="DP47" i="3" s="1"/>
  <c r="DQ47" i="3" s="1"/>
  <c r="DR47" i="3" s="1"/>
  <c r="DS47" i="3" s="1"/>
  <c r="DT47" i="3" s="1"/>
  <c r="DU47" i="3" s="1"/>
  <c r="DV47" i="3" s="1"/>
  <c r="DW47" i="3" s="1"/>
  <c r="DX47" i="3" s="1"/>
  <c r="DY47" i="3" s="1"/>
  <c r="DZ47" i="3" s="1"/>
  <c r="EA47" i="3" s="1"/>
  <c r="EB47" i="3" s="1"/>
  <c r="EC47" i="3" s="1"/>
  <c r="ED47" i="3" s="1"/>
  <c r="EE47" i="3" s="1"/>
  <c r="EF47" i="3" s="1"/>
  <c r="EG47" i="3" s="1"/>
  <c r="EH47" i="3" s="1"/>
  <c r="EH69" i="3"/>
  <c r="DF40" i="3"/>
  <c r="DG40" i="3" s="1"/>
  <c r="DH40" i="3" s="1"/>
  <c r="DI40" i="3" s="1"/>
  <c r="DJ40" i="3" s="1"/>
  <c r="DK40" i="3" s="1"/>
  <c r="DL40" i="3" s="1"/>
  <c r="DM40" i="3" s="1"/>
  <c r="DN40" i="3" s="1"/>
  <c r="DO40" i="3" s="1"/>
  <c r="DP40" i="3" s="1"/>
  <c r="DQ40" i="3" s="1"/>
  <c r="DR40" i="3" s="1"/>
  <c r="DS40" i="3" s="1"/>
  <c r="DT40" i="3" s="1"/>
  <c r="DU40" i="3" s="1"/>
  <c r="DV40" i="3" s="1"/>
  <c r="DW40" i="3" s="1"/>
  <c r="DX40" i="3" s="1"/>
  <c r="DY40" i="3" s="1"/>
  <c r="DZ40" i="3" s="1"/>
  <c r="EA40" i="3" s="1"/>
  <c r="EB40" i="3" s="1"/>
  <c r="EC40" i="3" s="1"/>
  <c r="ED40" i="3" s="1"/>
  <c r="EE40" i="3" s="1"/>
  <c r="EF40" i="3" s="1"/>
  <c r="EG40" i="3" s="1"/>
  <c r="EH40" i="3" s="1"/>
  <c r="DF57" i="3"/>
  <c r="DG57" i="3" s="1"/>
  <c r="DH57" i="3" s="1"/>
  <c r="DI57" i="3" s="1"/>
  <c r="DJ57" i="3" s="1"/>
  <c r="DK57" i="3" s="1"/>
  <c r="DL57" i="3" s="1"/>
  <c r="DM57" i="3" s="1"/>
  <c r="DN57" i="3" s="1"/>
  <c r="DO57" i="3" s="1"/>
  <c r="DP57" i="3" s="1"/>
  <c r="DQ57" i="3" s="1"/>
  <c r="DR57" i="3" s="1"/>
  <c r="DS57" i="3" s="1"/>
  <c r="DT57" i="3" s="1"/>
  <c r="DU57" i="3" s="1"/>
  <c r="DV57" i="3" s="1"/>
  <c r="DW57" i="3" s="1"/>
  <c r="DX57" i="3" s="1"/>
  <c r="DY57" i="3" s="1"/>
  <c r="DZ57" i="3" s="1"/>
  <c r="EA57" i="3" s="1"/>
  <c r="EB57" i="3" s="1"/>
  <c r="EC57" i="3" s="1"/>
  <c r="ED57" i="3" s="1"/>
  <c r="EE57" i="3" s="1"/>
  <c r="EF57" i="3" s="1"/>
  <c r="EG57" i="3" s="1"/>
  <c r="EH102" i="3"/>
  <c r="EH101" i="3" s="1"/>
  <c r="EH100" i="3" s="1"/>
  <c r="EH99" i="3" s="1"/>
  <c r="EH98" i="3" s="1"/>
  <c r="EH97" i="3" s="1"/>
  <c r="EH96" i="3" s="1"/>
  <c r="EH95" i="3" s="1"/>
  <c r="EH94" i="3" s="1"/>
  <c r="EH93" i="3" s="1"/>
  <c r="EH92" i="3" s="1"/>
  <c r="EH91" i="3" s="1"/>
  <c r="EH90" i="3" s="1"/>
  <c r="EH89" i="3" s="1"/>
  <c r="EH88" i="3" s="1"/>
  <c r="EH87" i="3" s="1"/>
  <c r="EH86" i="3" s="1"/>
  <c r="EH85" i="3" s="1"/>
  <c r="EH84" i="3" s="1"/>
  <c r="EH83" i="3" s="1"/>
  <c r="EH82" i="3" s="1"/>
  <c r="EH81" i="3" s="1"/>
  <c r="EH80" i="3" s="1"/>
  <c r="EH79" i="3" s="1"/>
  <c r="EH78" i="3" s="1"/>
  <c r="EH77" i="3" s="1"/>
  <c r="EH76" i="3" s="1"/>
  <c r="EH75" i="3" s="1"/>
  <c r="EH74" i="3" s="1"/>
  <c r="EH61" i="3"/>
  <c r="DF64" i="3"/>
  <c r="DG64" i="3" s="1"/>
  <c r="DH64" i="3" s="1"/>
  <c r="DI64" i="3" s="1"/>
  <c r="DJ64" i="3" s="1"/>
  <c r="DK64" i="3" s="1"/>
  <c r="DL64" i="3" s="1"/>
  <c r="DM64" i="3" s="1"/>
  <c r="DN64" i="3" s="1"/>
  <c r="DO64" i="3" s="1"/>
  <c r="DP64" i="3" s="1"/>
  <c r="DQ64" i="3" s="1"/>
  <c r="DR64" i="3" s="1"/>
  <c r="DS64" i="3" s="1"/>
  <c r="DT64" i="3" s="1"/>
  <c r="DU64" i="3" s="1"/>
  <c r="DV64" i="3" s="1"/>
  <c r="DW64" i="3" s="1"/>
  <c r="DX64" i="3" s="1"/>
  <c r="DY64" i="3" s="1"/>
  <c r="DZ64" i="3" s="1"/>
  <c r="EA64" i="3" s="1"/>
  <c r="EB64" i="3" s="1"/>
  <c r="EC64" i="3" s="1"/>
  <c r="ED64" i="3" s="1"/>
  <c r="EE64" i="3" s="1"/>
  <c r="EF64" i="3" s="1"/>
  <c r="EG64" i="3" s="1"/>
  <c r="EH64" i="3" s="1"/>
  <c r="EC45" i="3"/>
  <c r="ED45" i="3" s="1"/>
  <c r="EE45" i="3" s="1"/>
  <c r="EF45" i="3" s="1"/>
  <c r="EG45" i="3" s="1"/>
  <c r="EH45" i="3" s="1"/>
  <c r="AI69" i="3"/>
  <c r="BP104" i="3" s="1"/>
  <c r="CY57" i="3"/>
  <c r="CY51" i="3"/>
  <c r="AJ51" i="3" s="1"/>
  <c r="BQ86" i="3" s="1"/>
  <c r="CX58" i="3"/>
  <c r="CY58" i="3" s="1"/>
  <c r="CV43" i="3"/>
  <c r="CW43" i="3" s="1"/>
  <c r="CX43" i="3" s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F16" i="1"/>
  <c r="BQ91" i="3" l="1"/>
  <c r="AI39" i="3"/>
  <c r="BP74" i="3" s="1"/>
  <c r="AI44" i="3"/>
  <c r="BP79" i="3" s="1"/>
  <c r="BQ97" i="3"/>
  <c r="AI61" i="3"/>
  <c r="BP96" i="3" s="1"/>
  <c r="AI67" i="3"/>
  <c r="BP102" i="3" s="1"/>
  <c r="AI59" i="3"/>
  <c r="BP94" i="3" s="1"/>
  <c r="AJ46" i="3"/>
  <c r="AI53" i="3"/>
  <c r="AH53" i="3" s="1"/>
  <c r="AJ48" i="3"/>
  <c r="BQ90" i="3"/>
  <c r="AH55" i="3"/>
  <c r="BO90" i="3" s="1"/>
  <c r="AJ66" i="3"/>
  <c r="AJ57" i="3"/>
  <c r="BQ92" i="3" s="1"/>
  <c r="AI50" i="3"/>
  <c r="BP85" i="3" s="1"/>
  <c r="EH57" i="3"/>
  <c r="EH68" i="3"/>
  <c r="AJ68" i="3"/>
  <c r="AJ47" i="3"/>
  <c r="AJ64" i="3"/>
  <c r="EG58" i="3"/>
  <c r="EH58" i="3" s="1"/>
  <c r="AJ45" i="3"/>
  <c r="AJ65" i="3"/>
  <c r="AJ63" i="3"/>
  <c r="AI52" i="3"/>
  <c r="BP87" i="3" s="1"/>
  <c r="AJ41" i="3"/>
  <c r="AJ40" i="3"/>
  <c r="AJ42" i="3"/>
  <c r="AJ60" i="3"/>
  <c r="AJ54" i="3"/>
  <c r="AJ49" i="3"/>
  <c r="AH61" i="3"/>
  <c r="BO96" i="3" s="1"/>
  <c r="AH69" i="3"/>
  <c r="BO104" i="3" s="1"/>
  <c r="BP97" i="3"/>
  <c r="AH62" i="3"/>
  <c r="BP91" i="3"/>
  <c r="AH56" i="3"/>
  <c r="CY43" i="3"/>
  <c r="AJ43" i="3" s="1"/>
  <c r="BQ78" i="3" s="1"/>
  <c r="AI51" i="3"/>
  <c r="BP86" i="3" s="1"/>
  <c r="AH39" i="3" l="1"/>
  <c r="BO74" i="3" s="1"/>
  <c r="AH59" i="3"/>
  <c r="BO94" i="3" s="1"/>
  <c r="AH67" i="3"/>
  <c r="BO102" i="3" s="1"/>
  <c r="AH44" i="3"/>
  <c r="AG44" i="3" s="1"/>
  <c r="BP88" i="3"/>
  <c r="AI57" i="3"/>
  <c r="BP92" i="3" s="1"/>
  <c r="BQ81" i="3"/>
  <c r="AI46" i="3"/>
  <c r="AG55" i="3"/>
  <c r="BN90" i="3" s="1"/>
  <c r="BQ83" i="3"/>
  <c r="AI48" i="3"/>
  <c r="AG69" i="3"/>
  <c r="BN104" i="3" s="1"/>
  <c r="AH50" i="3"/>
  <c r="BO85" i="3" s="1"/>
  <c r="BQ101" i="3"/>
  <c r="AI66" i="3"/>
  <c r="BQ76" i="3"/>
  <c r="AI41" i="3"/>
  <c r="EH43" i="3"/>
  <c r="BQ82" i="3"/>
  <c r="AI47" i="3"/>
  <c r="BQ95" i="3"/>
  <c r="AI60" i="3"/>
  <c r="BQ99" i="3"/>
  <c r="AI64" i="3"/>
  <c r="BQ98" i="3"/>
  <c r="AI63" i="3"/>
  <c r="BQ103" i="3"/>
  <c r="EG103" i="3" s="1"/>
  <c r="EG102" i="3" s="1"/>
  <c r="AI68" i="3"/>
  <c r="BQ84" i="3"/>
  <c r="AI49" i="3"/>
  <c r="BQ100" i="3"/>
  <c r="AI65" i="3"/>
  <c r="BQ80" i="3"/>
  <c r="AI45" i="3"/>
  <c r="AI42" i="3"/>
  <c r="BQ77" i="3"/>
  <c r="BQ75" i="3"/>
  <c r="AI40" i="3"/>
  <c r="AH52" i="3"/>
  <c r="BO87" i="3" s="1"/>
  <c r="BQ89" i="3"/>
  <c r="AI54" i="3"/>
  <c r="AJ58" i="3"/>
  <c r="AG61" i="3"/>
  <c r="BN96" i="3" s="1"/>
  <c r="BO88" i="3"/>
  <c r="AG53" i="3"/>
  <c r="AG59" i="3"/>
  <c r="BN94" i="3" s="1"/>
  <c r="BO97" i="3"/>
  <c r="AG62" i="3"/>
  <c r="BO91" i="3"/>
  <c r="AG56" i="3"/>
  <c r="AI43" i="3"/>
  <c r="BP78" i="3" s="1"/>
  <c r="AH51" i="3"/>
  <c r="BO86" i="3" s="1"/>
  <c r="AG67" i="3" l="1"/>
  <c r="BN102" i="3" s="1"/>
  <c r="AG39" i="3"/>
  <c r="BN74" i="3" s="1"/>
  <c r="BO79" i="3"/>
  <c r="AF55" i="3"/>
  <c r="BM90" i="3" s="1"/>
  <c r="AH57" i="3"/>
  <c r="BO92" i="3" s="1"/>
  <c r="BP81" i="3"/>
  <c r="AH46" i="3"/>
  <c r="EG101" i="3"/>
  <c r="EG100" i="3" s="1"/>
  <c r="EG99" i="3" s="1"/>
  <c r="EG98" i="3" s="1"/>
  <c r="EG97" i="3" s="1"/>
  <c r="EG96" i="3" s="1"/>
  <c r="EG95" i="3" s="1"/>
  <c r="EG94" i="3" s="1"/>
  <c r="AG50" i="3"/>
  <c r="BN85" i="3" s="1"/>
  <c r="AF69" i="3"/>
  <c r="BM104" i="3" s="1"/>
  <c r="BP83" i="3"/>
  <c r="AH48" i="3"/>
  <c r="BP101" i="3"/>
  <c r="AH66" i="3"/>
  <c r="AG52" i="3"/>
  <c r="BN87" i="3" s="1"/>
  <c r="BP100" i="3"/>
  <c r="AH65" i="3"/>
  <c r="BP98" i="3"/>
  <c r="AH63" i="3"/>
  <c r="BP75" i="3"/>
  <c r="AH40" i="3"/>
  <c r="BP84" i="3"/>
  <c r="AH49" i="3"/>
  <c r="BP99" i="3"/>
  <c r="AH64" i="3"/>
  <c r="BP82" i="3"/>
  <c r="AH47" i="3"/>
  <c r="BP89" i="3"/>
  <c r="AH54" i="3"/>
  <c r="BP77" i="3"/>
  <c r="AH42" i="3"/>
  <c r="BP95" i="3"/>
  <c r="AH60" i="3"/>
  <c r="BP76" i="3"/>
  <c r="AH41" i="3"/>
  <c r="BQ93" i="3"/>
  <c r="AI58" i="3"/>
  <c r="BP80" i="3"/>
  <c r="AH45" i="3"/>
  <c r="BP103" i="3"/>
  <c r="EF103" i="3" s="1"/>
  <c r="EF102" i="3" s="1"/>
  <c r="AH68" i="3"/>
  <c r="AF61" i="3"/>
  <c r="BM96" i="3" s="1"/>
  <c r="AF59" i="3"/>
  <c r="BM94" i="3" s="1"/>
  <c r="AF39" i="3"/>
  <c r="BM74" i="3" s="1"/>
  <c r="BN88" i="3"/>
  <c r="AF53" i="3"/>
  <c r="BN79" i="3"/>
  <c r="AF44" i="3"/>
  <c r="BN97" i="3"/>
  <c r="AF62" i="3"/>
  <c r="BN91" i="3"/>
  <c r="AF56" i="3"/>
  <c r="AH43" i="3"/>
  <c r="BO78" i="3" s="1"/>
  <c r="AG51" i="3"/>
  <c r="BN86" i="3" s="1"/>
  <c r="AE55" i="3" l="1"/>
  <c r="BL90" i="3" s="1"/>
  <c r="AF67" i="3"/>
  <c r="BM102" i="3" s="1"/>
  <c r="AG57" i="3"/>
  <c r="BN92" i="3" s="1"/>
  <c r="AE69" i="3"/>
  <c r="BL104" i="3" s="1"/>
  <c r="AF50" i="3"/>
  <c r="BM85" i="3" s="1"/>
  <c r="BO81" i="3"/>
  <c r="AG46" i="3"/>
  <c r="EF101" i="3"/>
  <c r="EF100" i="3" s="1"/>
  <c r="EF99" i="3" s="1"/>
  <c r="EF98" i="3" s="1"/>
  <c r="EF97" i="3" s="1"/>
  <c r="EF96" i="3" s="1"/>
  <c r="EF95" i="3" s="1"/>
  <c r="EF94" i="3" s="1"/>
  <c r="BO83" i="3"/>
  <c r="AG48" i="3"/>
  <c r="EG93" i="3"/>
  <c r="EG92" i="3" s="1"/>
  <c r="EG91" i="3" s="1"/>
  <c r="EG90" i="3" s="1"/>
  <c r="EG89" i="3" s="1"/>
  <c r="EG88" i="3" s="1"/>
  <c r="EG87" i="3" s="1"/>
  <c r="EG86" i="3" s="1"/>
  <c r="EG85" i="3" s="1"/>
  <c r="EG84" i="3" s="1"/>
  <c r="EG83" i="3" s="1"/>
  <c r="EG82" i="3" s="1"/>
  <c r="EG81" i="3" s="1"/>
  <c r="EG80" i="3" s="1"/>
  <c r="EG79" i="3" s="1"/>
  <c r="EG78" i="3" s="1"/>
  <c r="EG77" i="3" s="1"/>
  <c r="EG76" i="3" s="1"/>
  <c r="EG75" i="3" s="1"/>
  <c r="AJ74" i="3" s="1"/>
  <c r="AJ75" i="3" s="1"/>
  <c r="AJ76" i="3" s="1"/>
  <c r="AJ77" i="3" s="1"/>
  <c r="AJ78" i="3" s="1"/>
  <c r="AJ79" i="3" s="1"/>
  <c r="AJ80" i="3" s="1"/>
  <c r="AJ81" i="3" s="1"/>
  <c r="AJ82" i="3" s="1"/>
  <c r="AJ83" i="3" s="1"/>
  <c r="AJ84" i="3" s="1"/>
  <c r="AJ85" i="3" s="1"/>
  <c r="AJ86" i="3" s="1"/>
  <c r="AJ87" i="3" s="1"/>
  <c r="AJ88" i="3" s="1"/>
  <c r="AJ89" i="3" s="1"/>
  <c r="AJ90" i="3" s="1"/>
  <c r="AJ91" i="3" s="1"/>
  <c r="AJ92" i="3" s="1"/>
  <c r="AJ93" i="3" s="1"/>
  <c r="AJ94" i="3" s="1"/>
  <c r="AJ95" i="3" s="1"/>
  <c r="AJ96" i="3" s="1"/>
  <c r="AJ97" i="3" s="1"/>
  <c r="AJ98" i="3" s="1"/>
  <c r="AJ99" i="3" s="1"/>
  <c r="AJ100" i="3" s="1"/>
  <c r="AJ101" i="3" s="1"/>
  <c r="AJ102" i="3" s="1"/>
  <c r="AJ103" i="3" s="1"/>
  <c r="AJ104" i="3" s="1"/>
  <c r="AF52" i="3"/>
  <c r="BM87" i="3" s="1"/>
  <c r="BO101" i="3"/>
  <c r="AG66" i="3"/>
  <c r="BP93" i="3"/>
  <c r="AH58" i="3"/>
  <c r="BO89" i="3"/>
  <c r="AG54" i="3"/>
  <c r="AG40" i="3"/>
  <c r="BO75" i="3"/>
  <c r="BO82" i="3"/>
  <c r="AG47" i="3"/>
  <c r="BO103" i="3"/>
  <c r="EE103" i="3" s="1"/>
  <c r="EE102" i="3" s="1"/>
  <c r="AG68" i="3"/>
  <c r="BO95" i="3"/>
  <c r="AG60" i="3"/>
  <c r="BO99" i="3"/>
  <c r="AG64" i="3"/>
  <c r="BO100" i="3"/>
  <c r="AG65" i="3"/>
  <c r="BO76" i="3"/>
  <c r="AG41" i="3"/>
  <c r="BO80" i="3"/>
  <c r="AG45" i="3"/>
  <c r="BO77" i="3"/>
  <c r="AG42" i="3"/>
  <c r="BO84" i="3"/>
  <c r="AG49" i="3"/>
  <c r="BO98" i="3"/>
  <c r="AG63" i="3"/>
  <c r="AE61" i="3"/>
  <c r="BL96" i="3" s="1"/>
  <c r="AD55" i="3"/>
  <c r="BK90" i="3" s="1"/>
  <c r="AE59" i="3"/>
  <c r="BL94" i="3" s="1"/>
  <c r="AE39" i="3"/>
  <c r="BL74" i="3" s="1"/>
  <c r="BM88" i="3"/>
  <c r="AE53" i="3"/>
  <c r="BM97" i="3"/>
  <c r="AE62" i="3"/>
  <c r="BM79" i="3"/>
  <c r="AE44" i="3"/>
  <c r="BM91" i="3"/>
  <c r="AE56" i="3"/>
  <c r="AF51" i="3"/>
  <c r="BM86" i="3" s="1"/>
  <c r="AG43" i="3"/>
  <c r="BN78" i="3" s="1"/>
  <c r="AF57" i="3"/>
  <c r="BM92" i="3" s="1"/>
  <c r="H16" i="1"/>
  <c r="AI16" i="1"/>
  <c r="O16" i="1"/>
  <c r="W16" i="1"/>
  <c r="AE16" i="1"/>
  <c r="F18" i="1"/>
  <c r="AE67" i="3" l="1"/>
  <c r="BL102" i="3" s="1"/>
  <c r="AD69" i="3"/>
  <c r="BK104" i="3" s="1"/>
  <c r="AE50" i="3"/>
  <c r="BL85" i="3" s="1"/>
  <c r="BN81" i="3"/>
  <c r="AF46" i="3"/>
  <c r="AE52" i="3"/>
  <c r="BL87" i="3" s="1"/>
  <c r="EF93" i="3"/>
  <c r="EF92" i="3" s="1"/>
  <c r="EF91" i="3" s="1"/>
  <c r="EF90" i="3" s="1"/>
  <c r="EF89" i="3" s="1"/>
  <c r="EF88" i="3" s="1"/>
  <c r="EF87" i="3" s="1"/>
  <c r="EF86" i="3" s="1"/>
  <c r="EF85" i="3" s="1"/>
  <c r="EF84" i="3" s="1"/>
  <c r="EF83" i="3" s="1"/>
  <c r="EF82" i="3" s="1"/>
  <c r="EF81" i="3" s="1"/>
  <c r="EF80" i="3" s="1"/>
  <c r="EF79" i="3" s="1"/>
  <c r="EF78" i="3" s="1"/>
  <c r="EF77" i="3" s="1"/>
  <c r="EF76" i="3" s="1"/>
  <c r="EF75" i="3" s="1"/>
  <c r="AI74" i="3" s="1"/>
  <c r="AI75" i="3" s="1"/>
  <c r="AI76" i="3" s="1"/>
  <c r="AI77" i="3" s="1"/>
  <c r="AI78" i="3" s="1"/>
  <c r="AI79" i="3" s="1"/>
  <c r="AI80" i="3" s="1"/>
  <c r="AI81" i="3" s="1"/>
  <c r="AI82" i="3" s="1"/>
  <c r="AI83" i="3" s="1"/>
  <c r="AI84" i="3" s="1"/>
  <c r="AI85" i="3" s="1"/>
  <c r="AI86" i="3" s="1"/>
  <c r="AI87" i="3" s="1"/>
  <c r="AI88" i="3" s="1"/>
  <c r="AI89" i="3" s="1"/>
  <c r="AI90" i="3" s="1"/>
  <c r="AI91" i="3" s="1"/>
  <c r="AI92" i="3" s="1"/>
  <c r="AI93" i="3" s="1"/>
  <c r="AI94" i="3" s="1"/>
  <c r="AI95" i="3" s="1"/>
  <c r="AI96" i="3" s="1"/>
  <c r="AI97" i="3" s="1"/>
  <c r="AI98" i="3" s="1"/>
  <c r="AI99" i="3" s="1"/>
  <c r="AI100" i="3" s="1"/>
  <c r="AI101" i="3" s="1"/>
  <c r="AI102" i="3" s="1"/>
  <c r="AI103" i="3" s="1"/>
  <c r="AI104" i="3" s="1"/>
  <c r="EG74" i="3"/>
  <c r="BN83" i="3"/>
  <c r="AF48" i="3"/>
  <c r="EE101" i="3"/>
  <c r="EE100" i="3" s="1"/>
  <c r="EE99" i="3" s="1"/>
  <c r="EE98" i="3" s="1"/>
  <c r="EE97" i="3" s="1"/>
  <c r="EE96" i="3" s="1"/>
  <c r="EE95" i="3" s="1"/>
  <c r="EE94" i="3" s="1"/>
  <c r="BN101" i="3"/>
  <c r="AF66" i="3"/>
  <c r="BN99" i="3"/>
  <c r="AF64" i="3"/>
  <c r="BN80" i="3"/>
  <c r="AF45" i="3"/>
  <c r="BN75" i="3"/>
  <c r="AF40" i="3"/>
  <c r="BN89" i="3"/>
  <c r="AF54" i="3"/>
  <c r="BN98" i="3"/>
  <c r="AF63" i="3"/>
  <c r="BN76" i="3"/>
  <c r="AF41" i="3"/>
  <c r="BN103" i="3"/>
  <c r="ED103" i="3" s="1"/>
  <c r="ED102" i="3" s="1"/>
  <c r="AF68" i="3"/>
  <c r="BO93" i="3"/>
  <c r="AG58" i="3"/>
  <c r="BN95" i="3"/>
  <c r="AF60" i="3"/>
  <c r="BN84" i="3"/>
  <c r="AF49" i="3"/>
  <c r="BN100" i="3"/>
  <c r="AF65" i="3"/>
  <c r="AF47" i="3"/>
  <c r="BN82" i="3"/>
  <c r="BN77" i="3"/>
  <c r="AF42" i="3"/>
  <c r="AD61" i="3"/>
  <c r="AC55" i="3"/>
  <c r="BJ90" i="3" s="1"/>
  <c r="AD59" i="3"/>
  <c r="BK94" i="3" s="1"/>
  <c r="AD39" i="3"/>
  <c r="BK74" i="3" s="1"/>
  <c r="BL88" i="3"/>
  <c r="AD53" i="3"/>
  <c r="BL79" i="3"/>
  <c r="AD44" i="3"/>
  <c r="BL97" i="3"/>
  <c r="AD62" i="3"/>
  <c r="BL91" i="3"/>
  <c r="AD56" i="3"/>
  <c r="AF43" i="3"/>
  <c r="BM78" i="3" s="1"/>
  <c r="AE57" i="3"/>
  <c r="BL92" i="3" s="1"/>
  <c r="AE51" i="3"/>
  <c r="BL86" i="3" s="1"/>
  <c r="AJ16" i="1"/>
  <c r="AB16" i="1"/>
  <c r="T16" i="1"/>
  <c r="L16" i="1"/>
  <c r="AD16" i="1"/>
  <c r="V16" i="1"/>
  <c r="N16" i="1"/>
  <c r="AC16" i="1"/>
  <c r="U16" i="1"/>
  <c r="M16" i="1"/>
  <c r="G16" i="1"/>
  <c r="AA16" i="1"/>
  <c r="S16" i="1"/>
  <c r="K16" i="1"/>
  <c r="AH16" i="1"/>
  <c r="Z16" i="1"/>
  <c r="R16" i="1"/>
  <c r="J16" i="1"/>
  <c r="AG16" i="1"/>
  <c r="Y16" i="1"/>
  <c r="Q16" i="1"/>
  <c r="I16" i="1"/>
  <c r="AF16" i="1"/>
  <c r="X16" i="1"/>
  <c r="P16" i="1"/>
  <c r="AD67" i="3" l="1"/>
  <c r="BK102" i="3" s="1"/>
  <c r="AC69" i="3"/>
  <c r="BJ104" i="3" s="1"/>
  <c r="AD50" i="3"/>
  <c r="BK85" i="3" s="1"/>
  <c r="AD52" i="3"/>
  <c r="BK87" i="3" s="1"/>
  <c r="BM81" i="3"/>
  <c r="AE46" i="3"/>
  <c r="EE93" i="3"/>
  <c r="EE92" i="3" s="1"/>
  <c r="EE91" i="3" s="1"/>
  <c r="EE90" i="3" s="1"/>
  <c r="EE89" i="3" s="1"/>
  <c r="EE88" i="3" s="1"/>
  <c r="EE87" i="3" s="1"/>
  <c r="EE86" i="3" s="1"/>
  <c r="EE85" i="3" s="1"/>
  <c r="EE84" i="3" s="1"/>
  <c r="EE83" i="3" s="1"/>
  <c r="EE82" i="3" s="1"/>
  <c r="EE81" i="3" s="1"/>
  <c r="EE80" i="3" s="1"/>
  <c r="EE79" i="3" s="1"/>
  <c r="EE78" i="3" s="1"/>
  <c r="EE77" i="3" s="1"/>
  <c r="EE76" i="3" s="1"/>
  <c r="EE75" i="3" s="1"/>
  <c r="AH74" i="3" s="1"/>
  <c r="AH75" i="3" s="1"/>
  <c r="AH76" i="3" s="1"/>
  <c r="AH77" i="3" s="1"/>
  <c r="AH78" i="3" s="1"/>
  <c r="AH79" i="3" s="1"/>
  <c r="AH80" i="3" s="1"/>
  <c r="AH81" i="3" s="1"/>
  <c r="AH82" i="3" s="1"/>
  <c r="AH83" i="3" s="1"/>
  <c r="AH84" i="3" s="1"/>
  <c r="AH85" i="3" s="1"/>
  <c r="AH86" i="3" s="1"/>
  <c r="AH87" i="3" s="1"/>
  <c r="AH88" i="3" s="1"/>
  <c r="AH89" i="3" s="1"/>
  <c r="AH90" i="3" s="1"/>
  <c r="AH91" i="3" s="1"/>
  <c r="AH92" i="3" s="1"/>
  <c r="AH93" i="3" s="1"/>
  <c r="AH94" i="3" s="1"/>
  <c r="AH95" i="3" s="1"/>
  <c r="AH96" i="3" s="1"/>
  <c r="AH97" i="3" s="1"/>
  <c r="AH98" i="3" s="1"/>
  <c r="AH99" i="3" s="1"/>
  <c r="AH100" i="3" s="1"/>
  <c r="AH101" i="3" s="1"/>
  <c r="AH102" i="3" s="1"/>
  <c r="AH103" i="3" s="1"/>
  <c r="AH104" i="3" s="1"/>
  <c r="EF74" i="3"/>
  <c r="ED101" i="3"/>
  <c r="ED100" i="3" s="1"/>
  <c r="ED99" i="3" s="1"/>
  <c r="ED98" i="3" s="1"/>
  <c r="ED97" i="3" s="1"/>
  <c r="ED96" i="3" s="1"/>
  <c r="ED95" i="3" s="1"/>
  <c r="ED94" i="3" s="1"/>
  <c r="BM83" i="3"/>
  <c r="AE48" i="3"/>
  <c r="BM101" i="3"/>
  <c r="AE66" i="3"/>
  <c r="BM89" i="3"/>
  <c r="AE54" i="3"/>
  <c r="BN93" i="3"/>
  <c r="AF58" i="3"/>
  <c r="BM75" i="3"/>
  <c r="AE40" i="3"/>
  <c r="BM77" i="3"/>
  <c r="AE42" i="3"/>
  <c r="BM84" i="3"/>
  <c r="AE49" i="3"/>
  <c r="BM76" i="3"/>
  <c r="AE41" i="3"/>
  <c r="BM80" i="3"/>
  <c r="AE45" i="3"/>
  <c r="BM100" i="3"/>
  <c r="AE65" i="3"/>
  <c r="BM103" i="3"/>
  <c r="EC103" i="3" s="1"/>
  <c r="EC102" i="3" s="1"/>
  <c r="AE68" i="3"/>
  <c r="BM95" i="3"/>
  <c r="AE60" i="3"/>
  <c r="BM98" i="3"/>
  <c r="AE63" i="3"/>
  <c r="BM99" i="3"/>
  <c r="AE64" i="3"/>
  <c r="BM82" i="3"/>
  <c r="AE47" i="3"/>
  <c r="AB55" i="3"/>
  <c r="BI90" i="3" s="1"/>
  <c r="AC50" i="3"/>
  <c r="BJ85" i="3" s="1"/>
  <c r="BK96" i="3"/>
  <c r="AC61" i="3"/>
  <c r="AC59" i="3"/>
  <c r="BJ94" i="3" s="1"/>
  <c r="AC39" i="3"/>
  <c r="BJ74" i="3" s="1"/>
  <c r="BK88" i="3"/>
  <c r="AC53" i="3"/>
  <c r="BK97" i="3"/>
  <c r="AC62" i="3"/>
  <c r="BK79" i="3"/>
  <c r="AC44" i="3"/>
  <c r="BK91" i="3"/>
  <c r="AC56" i="3"/>
  <c r="AE43" i="3"/>
  <c r="BL78" i="3" s="1"/>
  <c r="AB69" i="3"/>
  <c r="BI104" i="3" s="1"/>
  <c r="AD57" i="3"/>
  <c r="BK92" i="3" s="1"/>
  <c r="AD51" i="3"/>
  <c r="BK86" i="3" s="1"/>
  <c r="C4" i="1"/>
  <c r="AC52" i="3" l="1"/>
  <c r="BJ87" i="3" s="1"/>
  <c r="AC67" i="3"/>
  <c r="BJ102" i="3" s="1"/>
  <c r="EC101" i="3"/>
  <c r="EC100" i="3" s="1"/>
  <c r="EC99" i="3" s="1"/>
  <c r="EC98" i="3" s="1"/>
  <c r="EC97" i="3" s="1"/>
  <c r="EC96" i="3" s="1"/>
  <c r="EC95" i="3" s="1"/>
  <c r="EC94" i="3" s="1"/>
  <c r="BL81" i="3"/>
  <c r="AD46" i="3"/>
  <c r="EE74" i="3"/>
  <c r="BL83" i="3"/>
  <c r="AD48" i="3"/>
  <c r="ED93" i="3"/>
  <c r="ED92" i="3" s="1"/>
  <c r="ED91" i="3" s="1"/>
  <c r="ED90" i="3" s="1"/>
  <c r="ED89" i="3" s="1"/>
  <c r="ED88" i="3" s="1"/>
  <c r="ED87" i="3" s="1"/>
  <c r="ED86" i="3" s="1"/>
  <c r="ED85" i="3" s="1"/>
  <c r="ED84" i="3" s="1"/>
  <c r="ED83" i="3" s="1"/>
  <c r="ED82" i="3" s="1"/>
  <c r="ED81" i="3" s="1"/>
  <c r="ED80" i="3" s="1"/>
  <c r="ED79" i="3" s="1"/>
  <c r="ED78" i="3" s="1"/>
  <c r="ED77" i="3" s="1"/>
  <c r="ED76" i="3" s="1"/>
  <c r="ED75" i="3" s="1"/>
  <c r="ED74" i="3" s="1"/>
  <c r="BL101" i="3"/>
  <c r="AD66" i="3"/>
  <c r="AG38" i="1"/>
  <c r="C15" i="1"/>
  <c r="AJ25" i="1"/>
  <c r="F22" i="1"/>
  <c r="G25" i="1" s="1"/>
  <c r="BL80" i="3"/>
  <c r="AD45" i="3"/>
  <c r="BL75" i="3"/>
  <c r="AD40" i="3"/>
  <c r="BL76" i="3"/>
  <c r="AD41" i="3"/>
  <c r="BM93" i="3"/>
  <c r="AE58" i="3"/>
  <c r="BL95" i="3"/>
  <c r="AD60" i="3"/>
  <c r="BL82" i="3"/>
  <c r="AD47" i="3"/>
  <c r="BL84" i="3"/>
  <c r="AD49" i="3"/>
  <c r="BL99" i="3"/>
  <c r="AD64" i="3"/>
  <c r="BL89" i="3"/>
  <c r="AD54" i="3"/>
  <c r="BL98" i="3"/>
  <c r="AD63" i="3"/>
  <c r="BL103" i="3"/>
  <c r="EB103" i="3" s="1"/>
  <c r="EB102" i="3" s="1"/>
  <c r="AD68" i="3"/>
  <c r="BL100" i="3"/>
  <c r="AD65" i="3"/>
  <c r="BL77" i="3"/>
  <c r="AD42" i="3"/>
  <c r="AB50" i="3"/>
  <c r="BI85" i="3" s="1"/>
  <c r="AA55" i="3"/>
  <c r="BH90" i="3" s="1"/>
  <c r="BJ96" i="3"/>
  <c r="AB61" i="3"/>
  <c r="AB59" i="3"/>
  <c r="BI94" i="3" s="1"/>
  <c r="AB39" i="3"/>
  <c r="BI74" i="3" s="1"/>
  <c r="BJ88" i="3"/>
  <c r="AB53" i="3"/>
  <c r="BJ79" i="3"/>
  <c r="AB44" i="3"/>
  <c r="BJ97" i="3"/>
  <c r="AB62" i="3"/>
  <c r="BJ91" i="3"/>
  <c r="AB56" i="3"/>
  <c r="AA69" i="3"/>
  <c r="BH104" i="3" s="1"/>
  <c r="AC51" i="3"/>
  <c r="BJ86" i="3" s="1"/>
  <c r="AD43" i="3"/>
  <c r="BK78" i="3" s="1"/>
  <c r="AC57" i="3"/>
  <c r="BJ92" i="3" s="1"/>
  <c r="AE25" i="1"/>
  <c r="W25" i="1"/>
  <c r="O25" i="1"/>
  <c r="K37" i="1"/>
  <c r="S37" i="1"/>
  <c r="AA37" i="1"/>
  <c r="AI37" i="1"/>
  <c r="O38" i="1"/>
  <c r="W38" i="1"/>
  <c r="AE38" i="1"/>
  <c r="AD25" i="1"/>
  <c r="P38" i="1"/>
  <c r="U25" i="1"/>
  <c r="M37" i="1"/>
  <c r="U37" i="1"/>
  <c r="AC37" i="1"/>
  <c r="I38" i="1"/>
  <c r="Q38" i="1"/>
  <c r="Y38" i="1"/>
  <c r="C14" i="1"/>
  <c r="C16" i="1"/>
  <c r="G27" i="1"/>
  <c r="H27" i="1" s="1"/>
  <c r="I27" i="1" s="1"/>
  <c r="J27" i="1" s="1"/>
  <c r="K27" i="1" s="1"/>
  <c r="L27" i="1" s="1"/>
  <c r="M27" i="1" s="1"/>
  <c r="N27" i="1" s="1"/>
  <c r="O27" i="1" s="1"/>
  <c r="P27" i="1" s="1"/>
  <c r="Q27" i="1" s="1"/>
  <c r="R27" i="1" s="1"/>
  <c r="S27" i="1" s="1"/>
  <c r="T27" i="1" s="1"/>
  <c r="U27" i="1" s="1"/>
  <c r="V27" i="1" s="1"/>
  <c r="W27" i="1" s="1"/>
  <c r="X27" i="1" s="1"/>
  <c r="Y27" i="1" s="1"/>
  <c r="Z27" i="1" s="1"/>
  <c r="AA27" i="1" s="1"/>
  <c r="AB27" i="1" s="1"/>
  <c r="AC27" i="1" s="1"/>
  <c r="AD27" i="1" s="1"/>
  <c r="AE27" i="1" s="1"/>
  <c r="AF27" i="1" s="1"/>
  <c r="AG27" i="1" s="1"/>
  <c r="AH27" i="1" s="1"/>
  <c r="AI27" i="1" s="1"/>
  <c r="AJ27" i="1" s="1"/>
  <c r="F35" i="1"/>
  <c r="G38" i="1" s="1"/>
  <c r="L37" i="1"/>
  <c r="X38" i="1"/>
  <c r="T25" i="1"/>
  <c r="L25" i="1"/>
  <c r="N37" i="1"/>
  <c r="V37" i="1"/>
  <c r="AD37" i="1"/>
  <c r="J38" i="1"/>
  <c r="R38" i="1"/>
  <c r="Z38" i="1"/>
  <c r="AH38" i="1"/>
  <c r="H38" i="1"/>
  <c r="AC25" i="1"/>
  <c r="AI25" i="1"/>
  <c r="AA25" i="1"/>
  <c r="S25" i="1"/>
  <c r="K25" i="1"/>
  <c r="G34" i="1"/>
  <c r="H34" i="1" s="1"/>
  <c r="I34" i="1" s="1"/>
  <c r="J34" i="1" s="1"/>
  <c r="K34" i="1" s="1"/>
  <c r="L34" i="1" s="1"/>
  <c r="M34" i="1" s="1"/>
  <c r="N34" i="1" s="1"/>
  <c r="O34" i="1" s="1"/>
  <c r="P34" i="1" s="1"/>
  <c r="Q34" i="1" s="1"/>
  <c r="R34" i="1" s="1"/>
  <c r="S34" i="1" s="1"/>
  <c r="T34" i="1" s="1"/>
  <c r="U34" i="1" s="1"/>
  <c r="V34" i="1" s="1"/>
  <c r="W34" i="1" s="1"/>
  <c r="X34" i="1" s="1"/>
  <c r="Y34" i="1" s="1"/>
  <c r="Z34" i="1" s="1"/>
  <c r="AA34" i="1" s="1"/>
  <c r="AB34" i="1" s="1"/>
  <c r="AC34" i="1" s="1"/>
  <c r="AD34" i="1" s="1"/>
  <c r="AE34" i="1" s="1"/>
  <c r="AF34" i="1" s="1"/>
  <c r="AG34" i="1" s="1"/>
  <c r="AH34" i="1" s="1"/>
  <c r="AI34" i="1" s="1"/>
  <c r="AJ34" i="1" s="1"/>
  <c r="O37" i="1"/>
  <c r="W37" i="1"/>
  <c r="AE37" i="1"/>
  <c r="K38" i="1"/>
  <c r="S38" i="1"/>
  <c r="AA38" i="1"/>
  <c r="AI38" i="1"/>
  <c r="AF38" i="1"/>
  <c r="G21" i="1"/>
  <c r="H21" i="1" s="1"/>
  <c r="I21" i="1" s="1"/>
  <c r="J21" i="1" s="1"/>
  <c r="K21" i="1" s="1"/>
  <c r="L21" i="1" s="1"/>
  <c r="M21" i="1" s="1"/>
  <c r="N21" i="1" s="1"/>
  <c r="O21" i="1" s="1"/>
  <c r="P21" i="1" s="1"/>
  <c r="Q21" i="1" s="1"/>
  <c r="R21" i="1" s="1"/>
  <c r="S21" i="1" s="1"/>
  <c r="T21" i="1" s="1"/>
  <c r="U21" i="1" s="1"/>
  <c r="V21" i="1" s="1"/>
  <c r="W21" i="1" s="1"/>
  <c r="X21" i="1" s="1"/>
  <c r="Y21" i="1" s="1"/>
  <c r="Z21" i="1" s="1"/>
  <c r="AA21" i="1" s="1"/>
  <c r="AB21" i="1" s="1"/>
  <c r="AC21" i="1" s="1"/>
  <c r="AD21" i="1" s="1"/>
  <c r="AE21" i="1" s="1"/>
  <c r="AF21" i="1" s="1"/>
  <c r="AG21" i="1" s="1"/>
  <c r="AH21" i="1" s="1"/>
  <c r="AI21" i="1" s="1"/>
  <c r="AJ21" i="1" s="1"/>
  <c r="AH25" i="1"/>
  <c r="R25" i="1"/>
  <c r="J25" i="1"/>
  <c r="H37" i="1"/>
  <c r="P37" i="1"/>
  <c r="X37" i="1"/>
  <c r="AF37" i="1"/>
  <c r="L38" i="1"/>
  <c r="T38" i="1"/>
  <c r="AB38" i="1"/>
  <c r="N25" i="1"/>
  <c r="T37" i="1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AB25" i="1"/>
  <c r="Z25" i="1"/>
  <c r="AG25" i="1"/>
  <c r="Y25" i="1"/>
  <c r="Q25" i="1"/>
  <c r="I25" i="1"/>
  <c r="I37" i="1"/>
  <c r="Q37" i="1"/>
  <c r="Y37" i="1"/>
  <c r="AG37" i="1"/>
  <c r="M38" i="1"/>
  <c r="U38" i="1"/>
  <c r="AC38" i="1"/>
  <c r="V25" i="1"/>
  <c r="AB37" i="1"/>
  <c r="M25" i="1"/>
  <c r="AF25" i="1"/>
  <c r="X25" i="1"/>
  <c r="P25" i="1"/>
  <c r="H25" i="1"/>
  <c r="J37" i="1"/>
  <c r="R37" i="1"/>
  <c r="Z37" i="1"/>
  <c r="AH37" i="1"/>
  <c r="N38" i="1"/>
  <c r="V38" i="1"/>
  <c r="AD38" i="1"/>
  <c r="AB52" i="3" l="1"/>
  <c r="BI87" i="3" s="1"/>
  <c r="AB67" i="3"/>
  <c r="BI102" i="3" s="1"/>
  <c r="EB101" i="3"/>
  <c r="EB100" i="3" s="1"/>
  <c r="EB99" i="3" s="1"/>
  <c r="EB98" i="3" s="1"/>
  <c r="EB97" i="3" s="1"/>
  <c r="EB96" i="3" s="1"/>
  <c r="EB95" i="3" s="1"/>
  <c r="EB94" i="3" s="1"/>
  <c r="BK81" i="3"/>
  <c r="AC46" i="3"/>
  <c r="EC93" i="3"/>
  <c r="EC92" i="3" s="1"/>
  <c r="EC91" i="3" s="1"/>
  <c r="EC90" i="3" s="1"/>
  <c r="EC89" i="3" s="1"/>
  <c r="EC88" i="3" s="1"/>
  <c r="EC87" i="3" s="1"/>
  <c r="EC86" i="3" s="1"/>
  <c r="EC85" i="3" s="1"/>
  <c r="EC84" i="3" s="1"/>
  <c r="EC83" i="3" s="1"/>
  <c r="EC82" i="3" s="1"/>
  <c r="EC81" i="3" s="1"/>
  <c r="EC80" i="3" s="1"/>
  <c r="EC79" i="3" s="1"/>
  <c r="EC78" i="3" s="1"/>
  <c r="EC77" i="3" s="1"/>
  <c r="EC76" i="3" s="1"/>
  <c r="EC75" i="3" s="1"/>
  <c r="AF74" i="3" s="1"/>
  <c r="AF75" i="3" s="1"/>
  <c r="AF76" i="3" s="1"/>
  <c r="AF77" i="3" s="1"/>
  <c r="AF78" i="3" s="1"/>
  <c r="AF79" i="3" s="1"/>
  <c r="AF80" i="3" s="1"/>
  <c r="AF81" i="3" s="1"/>
  <c r="AF82" i="3" s="1"/>
  <c r="AF83" i="3" s="1"/>
  <c r="AF84" i="3" s="1"/>
  <c r="AF85" i="3" s="1"/>
  <c r="AF86" i="3" s="1"/>
  <c r="AF87" i="3" s="1"/>
  <c r="AF88" i="3" s="1"/>
  <c r="AF89" i="3" s="1"/>
  <c r="AF90" i="3" s="1"/>
  <c r="AF91" i="3" s="1"/>
  <c r="AF92" i="3" s="1"/>
  <c r="AF93" i="3" s="1"/>
  <c r="AF94" i="3" s="1"/>
  <c r="AF95" i="3" s="1"/>
  <c r="AF96" i="3" s="1"/>
  <c r="AF97" i="3" s="1"/>
  <c r="AF98" i="3" s="1"/>
  <c r="AF99" i="3" s="1"/>
  <c r="AF100" i="3" s="1"/>
  <c r="AF101" i="3" s="1"/>
  <c r="AF102" i="3" s="1"/>
  <c r="AF103" i="3" s="1"/>
  <c r="AF104" i="3" s="1"/>
  <c r="BK83" i="3"/>
  <c r="AC48" i="3"/>
  <c r="AG74" i="3"/>
  <c r="AG75" i="3" s="1"/>
  <c r="AG76" i="3" s="1"/>
  <c r="AG77" i="3" s="1"/>
  <c r="AG78" i="3" s="1"/>
  <c r="AG79" i="3" s="1"/>
  <c r="AG80" i="3" s="1"/>
  <c r="AG81" i="3" s="1"/>
  <c r="AG82" i="3" s="1"/>
  <c r="AG83" i="3" s="1"/>
  <c r="AG84" i="3" s="1"/>
  <c r="AG85" i="3" s="1"/>
  <c r="AG86" i="3" s="1"/>
  <c r="AG87" i="3" s="1"/>
  <c r="AG88" i="3" s="1"/>
  <c r="AG89" i="3" s="1"/>
  <c r="AG90" i="3" s="1"/>
  <c r="AG91" i="3" s="1"/>
  <c r="AG92" i="3" s="1"/>
  <c r="AG93" i="3" s="1"/>
  <c r="AG94" i="3" s="1"/>
  <c r="AG95" i="3" s="1"/>
  <c r="AG96" i="3" s="1"/>
  <c r="AG97" i="3" s="1"/>
  <c r="AG98" i="3" s="1"/>
  <c r="AG99" i="3" s="1"/>
  <c r="AG100" i="3" s="1"/>
  <c r="AG101" i="3" s="1"/>
  <c r="AG102" i="3" s="1"/>
  <c r="AG103" i="3" s="1"/>
  <c r="AG104" i="3" s="1"/>
  <c r="BK101" i="3"/>
  <c r="AC66" i="3"/>
  <c r="BK95" i="3"/>
  <c r="AC60" i="3"/>
  <c r="BK80" i="3"/>
  <c r="AC45" i="3"/>
  <c r="BK77" i="3"/>
  <c r="AC42" i="3"/>
  <c r="BK99" i="3"/>
  <c r="AC64" i="3"/>
  <c r="BK100" i="3"/>
  <c r="AC65" i="3"/>
  <c r="BK103" i="3"/>
  <c r="EA103" i="3" s="1"/>
  <c r="EA102" i="3" s="1"/>
  <c r="AC68" i="3"/>
  <c r="BL93" i="3"/>
  <c r="AD58" i="3"/>
  <c r="BK89" i="3"/>
  <c r="AC54" i="3"/>
  <c r="BK84" i="3"/>
  <c r="AC49" i="3"/>
  <c r="BK98" i="3"/>
  <c r="AC63" i="3"/>
  <c r="BK76" i="3"/>
  <c r="AC41" i="3"/>
  <c r="BK75" i="3"/>
  <c r="AC40" i="3"/>
  <c r="AC47" i="3"/>
  <c r="BK82" i="3"/>
  <c r="AA50" i="3"/>
  <c r="BH85" i="3" s="1"/>
  <c r="Z55" i="3"/>
  <c r="BG90" i="3" s="1"/>
  <c r="BI96" i="3"/>
  <c r="AA61" i="3"/>
  <c r="AA59" i="3"/>
  <c r="BH94" i="3" s="1"/>
  <c r="AA39" i="3"/>
  <c r="BH74" i="3" s="1"/>
  <c r="BI88" i="3"/>
  <c r="AA53" i="3"/>
  <c r="BI91" i="3"/>
  <c r="AA56" i="3"/>
  <c r="BI97" i="3"/>
  <c r="AA62" i="3"/>
  <c r="BI79" i="3"/>
  <c r="AA44" i="3"/>
  <c r="AC43" i="3"/>
  <c r="BJ78" i="3" s="1"/>
  <c r="Z69" i="3"/>
  <c r="BG104" i="3" s="1"/>
  <c r="AB51" i="3"/>
  <c r="BI86" i="3" s="1"/>
  <c r="AB57" i="3"/>
  <c r="BI92" i="3" s="1"/>
  <c r="G18" i="1"/>
  <c r="F28" i="1"/>
  <c r="G28" i="1" s="1"/>
  <c r="H28" i="1" s="1"/>
  <c r="I28" i="1" s="1"/>
  <c r="J28" i="1" s="1"/>
  <c r="K28" i="1" s="1"/>
  <c r="L28" i="1" s="1"/>
  <c r="M28" i="1" s="1"/>
  <c r="N28" i="1" s="1"/>
  <c r="O28" i="1" s="1"/>
  <c r="P28" i="1" s="1"/>
  <c r="Q28" i="1" s="1"/>
  <c r="R28" i="1" s="1"/>
  <c r="S28" i="1" s="1"/>
  <c r="T28" i="1" s="1"/>
  <c r="U28" i="1" s="1"/>
  <c r="V28" i="1" s="1"/>
  <c r="W28" i="1" s="1"/>
  <c r="X28" i="1" s="1"/>
  <c r="Y28" i="1" s="1"/>
  <c r="Z28" i="1" s="1"/>
  <c r="AA28" i="1" s="1"/>
  <c r="AB28" i="1" s="1"/>
  <c r="AC28" i="1" s="1"/>
  <c r="AD28" i="1" s="1"/>
  <c r="AE28" i="1" s="1"/>
  <c r="AF28" i="1" s="1"/>
  <c r="AG28" i="1" s="1"/>
  <c r="AH28" i="1" s="1"/>
  <c r="AI28" i="1" s="1"/>
  <c r="F26" i="1"/>
  <c r="G17" i="1"/>
  <c r="G37" i="1"/>
  <c r="AA52" i="3" l="1"/>
  <c r="BH87" i="3" s="1"/>
  <c r="AA67" i="3"/>
  <c r="BH102" i="3" s="1"/>
  <c r="EA101" i="3"/>
  <c r="EA100" i="3" s="1"/>
  <c r="EA99" i="3" s="1"/>
  <c r="EA98" i="3" s="1"/>
  <c r="EA97" i="3" s="1"/>
  <c r="EA96" i="3" s="1"/>
  <c r="EA95" i="3" s="1"/>
  <c r="EA94" i="3" s="1"/>
  <c r="BJ81" i="3"/>
  <c r="AB46" i="3"/>
  <c r="EC74" i="3"/>
  <c r="BJ83" i="3"/>
  <c r="AB48" i="3"/>
  <c r="BJ101" i="3"/>
  <c r="AB66" i="3"/>
  <c r="BJ89" i="3"/>
  <c r="AB54" i="3"/>
  <c r="BJ99" i="3"/>
  <c r="AB64" i="3"/>
  <c r="BJ76" i="3"/>
  <c r="AB41" i="3"/>
  <c r="BK93" i="3"/>
  <c r="AC58" i="3"/>
  <c r="BJ77" i="3"/>
  <c r="AB42" i="3"/>
  <c r="BJ98" i="3"/>
  <c r="AB63" i="3"/>
  <c r="BJ103" i="3"/>
  <c r="DZ103" i="3" s="1"/>
  <c r="DZ102" i="3" s="1"/>
  <c r="AB68" i="3"/>
  <c r="BJ80" i="3"/>
  <c r="AB45" i="3"/>
  <c r="BJ82" i="3"/>
  <c r="AB47" i="3"/>
  <c r="BJ84" i="3"/>
  <c r="AB49" i="3"/>
  <c r="BJ100" i="3"/>
  <c r="AB65" i="3"/>
  <c r="BJ95" i="3"/>
  <c r="AB60" i="3"/>
  <c r="BJ75" i="3"/>
  <c r="AB40" i="3"/>
  <c r="EB93" i="3"/>
  <c r="EB92" i="3" s="1"/>
  <c r="EB91" i="3" s="1"/>
  <c r="EB90" i="3" s="1"/>
  <c r="EB89" i="3" s="1"/>
  <c r="EB88" i="3" s="1"/>
  <c r="EB87" i="3" s="1"/>
  <c r="EB86" i="3" s="1"/>
  <c r="EB85" i="3" s="1"/>
  <c r="EB84" i="3" s="1"/>
  <c r="EB83" i="3" s="1"/>
  <c r="EB82" i="3" s="1"/>
  <c r="EB81" i="3" s="1"/>
  <c r="EB80" i="3" s="1"/>
  <c r="EB79" i="3" s="1"/>
  <c r="EB78" i="3" s="1"/>
  <c r="EB77" i="3" s="1"/>
  <c r="EB76" i="3" s="1"/>
  <c r="EB75" i="3" s="1"/>
  <c r="Z50" i="3"/>
  <c r="BG85" i="3" s="1"/>
  <c r="Y55" i="3"/>
  <c r="BF90" i="3" s="1"/>
  <c r="Z59" i="3"/>
  <c r="BG94" i="3" s="1"/>
  <c r="Z39" i="3"/>
  <c r="BG74" i="3" s="1"/>
  <c r="BH96" i="3"/>
  <c r="Z61" i="3"/>
  <c r="BH88" i="3"/>
  <c r="Z53" i="3"/>
  <c r="BH79" i="3"/>
  <c r="Z44" i="3"/>
  <c r="BH97" i="3"/>
  <c r="Z62" i="3"/>
  <c r="BH91" i="3"/>
  <c r="Z56" i="3"/>
  <c r="Y69" i="3"/>
  <c r="BF104" i="3" s="1"/>
  <c r="AA57" i="3"/>
  <c r="BH92" i="3" s="1"/>
  <c r="AA51" i="3"/>
  <c r="BH86" i="3" s="1"/>
  <c r="AB43" i="3"/>
  <c r="BI78" i="3" s="1"/>
  <c r="H18" i="1"/>
  <c r="H17" i="1"/>
  <c r="I17" i="1" s="1"/>
  <c r="J17" i="1" s="1"/>
  <c r="K17" i="1" s="1"/>
  <c r="L17" i="1" s="1"/>
  <c r="M17" i="1" s="1"/>
  <c r="N17" i="1" s="1"/>
  <c r="O17" i="1" s="1"/>
  <c r="P17" i="1" s="1"/>
  <c r="Q17" i="1" s="1"/>
  <c r="R17" i="1" s="1"/>
  <c r="S17" i="1" s="1"/>
  <c r="T17" i="1" s="1"/>
  <c r="U17" i="1" s="1"/>
  <c r="V17" i="1" s="1"/>
  <c r="W17" i="1" s="1"/>
  <c r="X17" i="1" s="1"/>
  <c r="Y17" i="1" s="1"/>
  <c r="Z17" i="1" s="1"/>
  <c r="AA17" i="1" s="1"/>
  <c r="AB17" i="1" s="1"/>
  <c r="AC17" i="1" s="1"/>
  <c r="AD17" i="1" s="1"/>
  <c r="AE17" i="1" s="1"/>
  <c r="AF17" i="1" s="1"/>
  <c r="AG17" i="1" s="1"/>
  <c r="AH17" i="1" s="1"/>
  <c r="AI17" i="1" s="1"/>
  <c r="AJ17" i="1" s="1"/>
  <c r="AJ28" i="1"/>
  <c r="AI24" i="1"/>
  <c r="AH24" i="1" s="1"/>
  <c r="AG24" i="1" s="1"/>
  <c r="AF24" i="1" s="1"/>
  <c r="AE24" i="1" s="1"/>
  <c r="AD24" i="1" s="1"/>
  <c r="AC24" i="1" s="1"/>
  <c r="AB24" i="1" s="1"/>
  <c r="AA24" i="1" s="1"/>
  <c r="Z24" i="1" s="1"/>
  <c r="Y24" i="1" s="1"/>
  <c r="X24" i="1" s="1"/>
  <c r="W24" i="1" s="1"/>
  <c r="V24" i="1" s="1"/>
  <c r="U24" i="1" s="1"/>
  <c r="T24" i="1" s="1"/>
  <c r="S24" i="1" s="1"/>
  <c r="R24" i="1" s="1"/>
  <c r="Q24" i="1" s="1"/>
  <c r="P24" i="1" s="1"/>
  <c r="O24" i="1" s="1"/>
  <c r="N24" i="1" s="1"/>
  <c r="M24" i="1" s="1"/>
  <c r="L24" i="1" s="1"/>
  <c r="K24" i="1" s="1"/>
  <c r="J24" i="1" s="1"/>
  <c r="I24" i="1" s="1"/>
  <c r="H24" i="1" s="1"/>
  <c r="G24" i="1" s="1"/>
  <c r="Z67" i="3" l="1"/>
  <c r="BG102" i="3" s="1"/>
  <c r="Z52" i="3"/>
  <c r="BG87" i="3" s="1"/>
  <c r="EA93" i="3"/>
  <c r="EA92" i="3" s="1"/>
  <c r="EA91" i="3" s="1"/>
  <c r="EA90" i="3" s="1"/>
  <c r="EA89" i="3" s="1"/>
  <c r="EA88" i="3" s="1"/>
  <c r="EA87" i="3" s="1"/>
  <c r="EA86" i="3" s="1"/>
  <c r="EA85" i="3" s="1"/>
  <c r="EA84" i="3" s="1"/>
  <c r="EA83" i="3" s="1"/>
  <c r="EA82" i="3" s="1"/>
  <c r="EA81" i="3" s="1"/>
  <c r="EA80" i="3" s="1"/>
  <c r="EA79" i="3" s="1"/>
  <c r="EA78" i="3" s="1"/>
  <c r="EA77" i="3" s="1"/>
  <c r="EA76" i="3" s="1"/>
  <c r="EA75" i="3" s="1"/>
  <c r="EA74" i="3" s="1"/>
  <c r="BI81" i="3"/>
  <c r="AA46" i="3"/>
  <c r="BI83" i="3"/>
  <c r="AA48" i="3"/>
  <c r="DZ101" i="3"/>
  <c r="DZ100" i="3" s="1"/>
  <c r="DZ99" i="3" s="1"/>
  <c r="DZ98" i="3" s="1"/>
  <c r="DZ97" i="3" s="1"/>
  <c r="DZ96" i="3" s="1"/>
  <c r="DZ95" i="3" s="1"/>
  <c r="DZ94" i="3" s="1"/>
  <c r="BI101" i="3"/>
  <c r="AA66" i="3"/>
  <c r="BI80" i="3"/>
  <c r="AA45" i="3"/>
  <c r="BI100" i="3"/>
  <c r="AA65" i="3"/>
  <c r="BJ93" i="3"/>
  <c r="AB58" i="3"/>
  <c r="BI103" i="3"/>
  <c r="DY103" i="3" s="1"/>
  <c r="DY102" i="3" s="1"/>
  <c r="AA68" i="3"/>
  <c r="BI76" i="3"/>
  <c r="AA41" i="3"/>
  <c r="AE74" i="3"/>
  <c r="AE75" i="3" s="1"/>
  <c r="AE76" i="3" s="1"/>
  <c r="AE77" i="3" s="1"/>
  <c r="AE78" i="3" s="1"/>
  <c r="AE79" i="3" s="1"/>
  <c r="AE80" i="3" s="1"/>
  <c r="AE81" i="3" s="1"/>
  <c r="AE82" i="3" s="1"/>
  <c r="AE83" i="3" s="1"/>
  <c r="AE84" i="3" s="1"/>
  <c r="AE85" i="3" s="1"/>
  <c r="AE86" i="3" s="1"/>
  <c r="AE87" i="3" s="1"/>
  <c r="AE88" i="3" s="1"/>
  <c r="AE89" i="3" s="1"/>
  <c r="AE90" i="3" s="1"/>
  <c r="AE91" i="3" s="1"/>
  <c r="AE92" i="3" s="1"/>
  <c r="AE93" i="3" s="1"/>
  <c r="AE94" i="3" s="1"/>
  <c r="AE95" i="3" s="1"/>
  <c r="AE96" i="3" s="1"/>
  <c r="AE97" i="3" s="1"/>
  <c r="AE98" i="3" s="1"/>
  <c r="AE99" i="3" s="1"/>
  <c r="AE100" i="3" s="1"/>
  <c r="AE101" i="3" s="1"/>
  <c r="AE102" i="3" s="1"/>
  <c r="AE103" i="3" s="1"/>
  <c r="AE104" i="3" s="1"/>
  <c r="EB74" i="3"/>
  <c r="BI84" i="3"/>
  <c r="AA49" i="3"/>
  <c r="BI98" i="3"/>
  <c r="AA63" i="3"/>
  <c r="BI99" i="3"/>
  <c r="AA64" i="3"/>
  <c r="BI75" i="3"/>
  <c r="AA40" i="3"/>
  <c r="BI82" i="3"/>
  <c r="AA47" i="3"/>
  <c r="BI77" i="3"/>
  <c r="AA42" i="3"/>
  <c r="BI89" i="3"/>
  <c r="AA54" i="3"/>
  <c r="BI95" i="3"/>
  <c r="AA60" i="3"/>
  <c r="Y50" i="3"/>
  <c r="BF85" i="3" s="1"/>
  <c r="X55" i="3"/>
  <c r="BE90" i="3" s="1"/>
  <c r="Y39" i="3"/>
  <c r="BF74" i="3" s="1"/>
  <c r="Y59" i="3"/>
  <c r="BF94" i="3" s="1"/>
  <c r="BG96" i="3"/>
  <c r="Y61" i="3"/>
  <c r="BG88" i="3"/>
  <c r="Y53" i="3"/>
  <c r="BG97" i="3"/>
  <c r="Y62" i="3"/>
  <c r="BG79" i="3"/>
  <c r="Y44" i="3"/>
  <c r="BG91" i="3"/>
  <c r="Y56" i="3"/>
  <c r="Z51" i="3"/>
  <c r="BG86" i="3" s="1"/>
  <c r="X69" i="3"/>
  <c r="BE104" i="3" s="1"/>
  <c r="AA43" i="3"/>
  <c r="BH78" i="3" s="1"/>
  <c r="Z57" i="3"/>
  <c r="BG92" i="3" s="1"/>
  <c r="I18" i="1"/>
  <c r="J18" i="1" s="1"/>
  <c r="K18" i="1" s="1"/>
  <c r="Y67" i="3" l="1"/>
  <c r="BF102" i="3" s="1"/>
  <c r="Y52" i="3"/>
  <c r="BF87" i="3" s="1"/>
  <c r="AD74" i="3"/>
  <c r="AD75" i="3" s="1"/>
  <c r="AD76" i="3" s="1"/>
  <c r="AD77" i="3" s="1"/>
  <c r="AD78" i="3" s="1"/>
  <c r="AD79" i="3" s="1"/>
  <c r="AD80" i="3" s="1"/>
  <c r="AD81" i="3" s="1"/>
  <c r="AD82" i="3" s="1"/>
  <c r="AD83" i="3" s="1"/>
  <c r="AD84" i="3" s="1"/>
  <c r="AD85" i="3" s="1"/>
  <c r="AD86" i="3" s="1"/>
  <c r="AD87" i="3" s="1"/>
  <c r="AD88" i="3" s="1"/>
  <c r="AD89" i="3" s="1"/>
  <c r="AD90" i="3" s="1"/>
  <c r="AD91" i="3" s="1"/>
  <c r="AD92" i="3" s="1"/>
  <c r="AD93" i="3" s="1"/>
  <c r="AD94" i="3" s="1"/>
  <c r="AD95" i="3" s="1"/>
  <c r="AD96" i="3" s="1"/>
  <c r="AD97" i="3" s="1"/>
  <c r="AD98" i="3" s="1"/>
  <c r="AD99" i="3" s="1"/>
  <c r="AD100" i="3" s="1"/>
  <c r="AD101" i="3" s="1"/>
  <c r="AD102" i="3" s="1"/>
  <c r="AD103" i="3" s="1"/>
  <c r="AD104" i="3" s="1"/>
  <c r="DY101" i="3"/>
  <c r="DY100" i="3" s="1"/>
  <c r="DY99" i="3" s="1"/>
  <c r="DY98" i="3" s="1"/>
  <c r="DY97" i="3" s="1"/>
  <c r="DY96" i="3" s="1"/>
  <c r="DY95" i="3" s="1"/>
  <c r="DY94" i="3" s="1"/>
  <c r="BH81" i="3"/>
  <c r="Z46" i="3"/>
  <c r="BH83" i="3"/>
  <c r="Z48" i="3"/>
  <c r="BH101" i="3"/>
  <c r="Z66" i="3"/>
  <c r="BH95" i="3"/>
  <c r="Z60" i="3"/>
  <c r="BH75" i="3"/>
  <c r="Z40" i="3"/>
  <c r="BI93" i="3"/>
  <c r="AA58" i="3"/>
  <c r="BH84" i="3"/>
  <c r="Z49" i="3"/>
  <c r="BH100" i="3"/>
  <c r="Z65" i="3"/>
  <c r="BH99" i="3"/>
  <c r="Z64" i="3"/>
  <c r="DZ93" i="3"/>
  <c r="DZ92" i="3" s="1"/>
  <c r="DZ91" i="3" s="1"/>
  <c r="DZ90" i="3" s="1"/>
  <c r="DZ89" i="3" s="1"/>
  <c r="DZ88" i="3" s="1"/>
  <c r="DZ87" i="3" s="1"/>
  <c r="DZ86" i="3" s="1"/>
  <c r="DZ85" i="3" s="1"/>
  <c r="DZ84" i="3" s="1"/>
  <c r="DZ83" i="3" s="1"/>
  <c r="DZ82" i="3" s="1"/>
  <c r="DZ81" i="3" s="1"/>
  <c r="DZ80" i="3" s="1"/>
  <c r="DZ79" i="3" s="1"/>
  <c r="DZ78" i="3" s="1"/>
  <c r="DZ77" i="3" s="1"/>
  <c r="DZ76" i="3" s="1"/>
  <c r="DZ75" i="3" s="1"/>
  <c r="BH89" i="3"/>
  <c r="Z54" i="3"/>
  <c r="BH77" i="3"/>
  <c r="Z42" i="3"/>
  <c r="BH76" i="3"/>
  <c r="Z41" i="3"/>
  <c r="BH98" i="3"/>
  <c r="Z63" i="3"/>
  <c r="BH80" i="3"/>
  <c r="Z45" i="3"/>
  <c r="Z47" i="3"/>
  <c r="BH82" i="3"/>
  <c r="BH103" i="3"/>
  <c r="DX103" i="3" s="1"/>
  <c r="DX102" i="3" s="1"/>
  <c r="Z68" i="3"/>
  <c r="X50" i="3"/>
  <c r="BE85" i="3" s="1"/>
  <c r="X39" i="3"/>
  <c r="BE74" i="3" s="1"/>
  <c r="W55" i="3"/>
  <c r="BD90" i="3" s="1"/>
  <c r="X59" i="3"/>
  <c r="BE94" i="3" s="1"/>
  <c r="BF96" i="3"/>
  <c r="X61" i="3"/>
  <c r="BF88" i="3"/>
  <c r="X53" i="3"/>
  <c r="BF79" i="3"/>
  <c r="X44" i="3"/>
  <c r="BF97" i="3"/>
  <c r="X62" i="3"/>
  <c r="BF91" i="3"/>
  <c r="X56" i="3"/>
  <c r="Y57" i="3"/>
  <c r="BF92" i="3" s="1"/>
  <c r="W69" i="3"/>
  <c r="BD104" i="3" s="1"/>
  <c r="Z43" i="3"/>
  <c r="BG78" i="3" s="1"/>
  <c r="Y51" i="3"/>
  <c r="BF86" i="3" s="1"/>
  <c r="L18" i="1"/>
  <c r="X67" i="3" l="1"/>
  <c r="BE102" i="3" s="1"/>
  <c r="X52" i="3"/>
  <c r="BE87" i="3" s="1"/>
  <c r="BG81" i="3"/>
  <c r="Y46" i="3"/>
  <c r="DX101" i="3"/>
  <c r="DX100" i="3" s="1"/>
  <c r="DX99" i="3" s="1"/>
  <c r="DX98" i="3" s="1"/>
  <c r="DX97" i="3" s="1"/>
  <c r="DX96" i="3" s="1"/>
  <c r="DX95" i="3" s="1"/>
  <c r="DX94" i="3" s="1"/>
  <c r="BG83" i="3"/>
  <c r="Y48" i="3"/>
  <c r="DY93" i="3"/>
  <c r="DY92" i="3" s="1"/>
  <c r="DY91" i="3" s="1"/>
  <c r="DY90" i="3" s="1"/>
  <c r="DY89" i="3" s="1"/>
  <c r="DY88" i="3" s="1"/>
  <c r="DY87" i="3" s="1"/>
  <c r="DY86" i="3" s="1"/>
  <c r="DY85" i="3" s="1"/>
  <c r="DY84" i="3" s="1"/>
  <c r="DY83" i="3" s="1"/>
  <c r="DY82" i="3" s="1"/>
  <c r="DY81" i="3" s="1"/>
  <c r="DY80" i="3" s="1"/>
  <c r="DY79" i="3" s="1"/>
  <c r="DY78" i="3" s="1"/>
  <c r="DY77" i="3" s="1"/>
  <c r="DY76" i="3" s="1"/>
  <c r="DY75" i="3" s="1"/>
  <c r="AB74" i="3" s="1"/>
  <c r="AB75" i="3" s="1"/>
  <c r="AB76" i="3" s="1"/>
  <c r="AB77" i="3" s="1"/>
  <c r="AB78" i="3" s="1"/>
  <c r="AB79" i="3" s="1"/>
  <c r="AB80" i="3" s="1"/>
  <c r="AB81" i="3" s="1"/>
  <c r="AB82" i="3" s="1"/>
  <c r="AB83" i="3" s="1"/>
  <c r="AB84" i="3" s="1"/>
  <c r="AB85" i="3" s="1"/>
  <c r="AB86" i="3" s="1"/>
  <c r="AB87" i="3" s="1"/>
  <c r="AB88" i="3" s="1"/>
  <c r="AB89" i="3" s="1"/>
  <c r="AB90" i="3" s="1"/>
  <c r="AB91" i="3" s="1"/>
  <c r="AB92" i="3" s="1"/>
  <c r="AB93" i="3" s="1"/>
  <c r="AB94" i="3" s="1"/>
  <c r="AB95" i="3" s="1"/>
  <c r="AB96" i="3" s="1"/>
  <c r="AB97" i="3" s="1"/>
  <c r="AB98" i="3" s="1"/>
  <c r="AB99" i="3" s="1"/>
  <c r="AB100" i="3" s="1"/>
  <c r="AB101" i="3" s="1"/>
  <c r="AB102" i="3" s="1"/>
  <c r="AB103" i="3" s="1"/>
  <c r="AB104" i="3" s="1"/>
  <c r="W52" i="3"/>
  <c r="BD87" i="3" s="1"/>
  <c r="W50" i="3"/>
  <c r="BD85" i="3" s="1"/>
  <c r="BG101" i="3"/>
  <c r="Y66" i="3"/>
  <c r="DZ74" i="3"/>
  <c r="AC74" i="3"/>
  <c r="AC75" i="3" s="1"/>
  <c r="AC76" i="3" s="1"/>
  <c r="AC77" i="3" s="1"/>
  <c r="AC78" i="3" s="1"/>
  <c r="AC79" i="3" s="1"/>
  <c r="AC80" i="3" s="1"/>
  <c r="AC81" i="3" s="1"/>
  <c r="AC82" i="3" s="1"/>
  <c r="AC83" i="3" s="1"/>
  <c r="AC84" i="3" s="1"/>
  <c r="AC85" i="3" s="1"/>
  <c r="AC86" i="3" s="1"/>
  <c r="AC87" i="3" s="1"/>
  <c r="AC88" i="3" s="1"/>
  <c r="AC89" i="3" s="1"/>
  <c r="AC90" i="3" s="1"/>
  <c r="AC91" i="3" s="1"/>
  <c r="AC92" i="3" s="1"/>
  <c r="AC93" i="3" s="1"/>
  <c r="AC94" i="3" s="1"/>
  <c r="AC95" i="3" s="1"/>
  <c r="AC96" i="3" s="1"/>
  <c r="AC97" i="3" s="1"/>
  <c r="AC98" i="3" s="1"/>
  <c r="AC99" i="3" s="1"/>
  <c r="AC100" i="3" s="1"/>
  <c r="AC101" i="3" s="1"/>
  <c r="AC102" i="3" s="1"/>
  <c r="AC103" i="3" s="1"/>
  <c r="AC104" i="3" s="1"/>
  <c r="BH93" i="3"/>
  <c r="Z58" i="3"/>
  <c r="BG99" i="3"/>
  <c r="Y64" i="3"/>
  <c r="BG103" i="3"/>
  <c r="DW103" i="3" s="1"/>
  <c r="DW102" i="3" s="1"/>
  <c r="Y68" i="3"/>
  <c r="BG76" i="3"/>
  <c r="Y41" i="3"/>
  <c r="Y40" i="3"/>
  <c r="BG75" i="3"/>
  <c r="BG77" i="3"/>
  <c r="Y42" i="3"/>
  <c r="BG100" i="3"/>
  <c r="Y65" i="3"/>
  <c r="BG95" i="3"/>
  <c r="Y60" i="3"/>
  <c r="BG98" i="3"/>
  <c r="Y63" i="3"/>
  <c r="BG82" i="3"/>
  <c r="Y47" i="3"/>
  <c r="BG80" i="3"/>
  <c r="Y45" i="3"/>
  <c r="BG89" i="3"/>
  <c r="Y54" i="3"/>
  <c r="BG84" i="3"/>
  <c r="Y49" i="3"/>
  <c r="W39" i="3"/>
  <c r="BD74" i="3" s="1"/>
  <c r="V55" i="3"/>
  <c r="BC90" i="3" s="1"/>
  <c r="W59" i="3"/>
  <c r="BD94" i="3" s="1"/>
  <c r="BE96" i="3"/>
  <c r="W61" i="3"/>
  <c r="BE88" i="3"/>
  <c r="W53" i="3"/>
  <c r="BE97" i="3"/>
  <c r="W62" i="3"/>
  <c r="BE79" i="3"/>
  <c r="W44" i="3"/>
  <c r="BE91" i="3"/>
  <c r="W56" i="3"/>
  <c r="V69" i="3"/>
  <c r="BC104" i="3" s="1"/>
  <c r="X51" i="3"/>
  <c r="BE86" i="3" s="1"/>
  <c r="Y43" i="3"/>
  <c r="BF78" i="3" s="1"/>
  <c r="X57" i="3"/>
  <c r="BE92" i="3" s="1"/>
  <c r="M18" i="1"/>
  <c r="W67" i="3" l="1"/>
  <c r="BD102" i="3" s="1"/>
  <c r="DW101" i="3"/>
  <c r="DW100" i="3" s="1"/>
  <c r="DW99" i="3" s="1"/>
  <c r="DW98" i="3" s="1"/>
  <c r="DW97" i="3" s="1"/>
  <c r="DW96" i="3" s="1"/>
  <c r="DW95" i="3" s="1"/>
  <c r="DW94" i="3" s="1"/>
  <c r="DX93" i="3"/>
  <c r="DX92" i="3" s="1"/>
  <c r="DX91" i="3" s="1"/>
  <c r="DX90" i="3" s="1"/>
  <c r="DX89" i="3" s="1"/>
  <c r="DX88" i="3" s="1"/>
  <c r="DX87" i="3" s="1"/>
  <c r="DX86" i="3" s="1"/>
  <c r="DX85" i="3" s="1"/>
  <c r="DX84" i="3" s="1"/>
  <c r="DX83" i="3" s="1"/>
  <c r="DX82" i="3" s="1"/>
  <c r="DX81" i="3" s="1"/>
  <c r="DX80" i="3" s="1"/>
  <c r="DX79" i="3" s="1"/>
  <c r="DX78" i="3" s="1"/>
  <c r="DX77" i="3" s="1"/>
  <c r="DX76" i="3" s="1"/>
  <c r="DX75" i="3" s="1"/>
  <c r="DX74" i="3" s="1"/>
  <c r="BF81" i="3"/>
  <c r="X46" i="3"/>
  <c r="V52" i="3"/>
  <c r="BC87" i="3" s="1"/>
  <c r="V50" i="3"/>
  <c r="BC85" i="3" s="1"/>
  <c r="BF83" i="3"/>
  <c r="X48" i="3"/>
  <c r="DY74" i="3"/>
  <c r="BF101" i="3"/>
  <c r="X66" i="3"/>
  <c r="V39" i="3"/>
  <c r="BC74" i="3" s="1"/>
  <c r="BF98" i="3"/>
  <c r="X63" i="3"/>
  <c r="BG93" i="3"/>
  <c r="Y58" i="3"/>
  <c r="X47" i="3"/>
  <c r="BF82" i="3"/>
  <c r="BF89" i="3"/>
  <c r="X54" i="3"/>
  <c r="BF95" i="3"/>
  <c r="X60" i="3"/>
  <c r="X40" i="3"/>
  <c r="BF75" i="3"/>
  <c r="BF84" i="3"/>
  <c r="X49" i="3"/>
  <c r="BF76" i="3"/>
  <c r="X41" i="3"/>
  <c r="BF80" i="3"/>
  <c r="X45" i="3"/>
  <c r="BF100" i="3"/>
  <c r="X65" i="3"/>
  <c r="BF77" i="3"/>
  <c r="X42" i="3"/>
  <c r="V67" i="3"/>
  <c r="BC102" i="3" s="1"/>
  <c r="BF99" i="3"/>
  <c r="X64" i="3"/>
  <c r="BF103" i="3"/>
  <c r="DV103" i="3" s="1"/>
  <c r="DV102" i="3" s="1"/>
  <c r="X68" i="3"/>
  <c r="U55" i="3"/>
  <c r="BB90" i="3" s="1"/>
  <c r="V59" i="3"/>
  <c r="BC94" i="3" s="1"/>
  <c r="BD96" i="3"/>
  <c r="V61" i="3"/>
  <c r="BD88" i="3"/>
  <c r="V53" i="3"/>
  <c r="BD79" i="3"/>
  <c r="V44" i="3"/>
  <c r="BD97" i="3"/>
  <c r="V62" i="3"/>
  <c r="BD91" i="3"/>
  <c r="V56" i="3"/>
  <c r="X43" i="3"/>
  <c r="BE78" i="3" s="1"/>
  <c r="U69" i="3"/>
  <c r="BB104" i="3" s="1"/>
  <c r="W51" i="3"/>
  <c r="BD86" i="3" s="1"/>
  <c r="W57" i="3"/>
  <c r="BD92" i="3" s="1"/>
  <c r="N18" i="1"/>
  <c r="U39" i="3" l="1"/>
  <c r="BB74" i="3" s="1"/>
  <c r="U52" i="3"/>
  <c r="BB87" i="3" s="1"/>
  <c r="AA74" i="3"/>
  <c r="AA75" i="3" s="1"/>
  <c r="AA76" i="3" s="1"/>
  <c r="AA77" i="3" s="1"/>
  <c r="AA78" i="3" s="1"/>
  <c r="AA79" i="3" s="1"/>
  <c r="AA80" i="3" s="1"/>
  <c r="AA81" i="3" s="1"/>
  <c r="AA82" i="3" s="1"/>
  <c r="AA83" i="3" s="1"/>
  <c r="AA84" i="3" s="1"/>
  <c r="AA85" i="3" s="1"/>
  <c r="AA86" i="3" s="1"/>
  <c r="AA87" i="3" s="1"/>
  <c r="AA88" i="3" s="1"/>
  <c r="AA89" i="3" s="1"/>
  <c r="AA90" i="3" s="1"/>
  <c r="AA91" i="3" s="1"/>
  <c r="AA92" i="3" s="1"/>
  <c r="AA93" i="3" s="1"/>
  <c r="AA94" i="3" s="1"/>
  <c r="AA95" i="3" s="1"/>
  <c r="AA96" i="3" s="1"/>
  <c r="AA97" i="3" s="1"/>
  <c r="AA98" i="3" s="1"/>
  <c r="AA99" i="3" s="1"/>
  <c r="AA100" i="3" s="1"/>
  <c r="AA101" i="3" s="1"/>
  <c r="AA102" i="3" s="1"/>
  <c r="AA103" i="3" s="1"/>
  <c r="AA104" i="3" s="1"/>
  <c r="BE81" i="3"/>
  <c r="W46" i="3"/>
  <c r="U50" i="3"/>
  <c r="BB85" i="3" s="1"/>
  <c r="DV101" i="3"/>
  <c r="DV100" i="3" s="1"/>
  <c r="DV99" i="3" s="1"/>
  <c r="DV98" i="3" s="1"/>
  <c r="DV97" i="3" s="1"/>
  <c r="DV96" i="3" s="1"/>
  <c r="DV95" i="3" s="1"/>
  <c r="DV94" i="3" s="1"/>
  <c r="BE83" i="3"/>
  <c r="W48" i="3"/>
  <c r="DW93" i="3"/>
  <c r="DW92" i="3" s="1"/>
  <c r="DW91" i="3" s="1"/>
  <c r="DW90" i="3" s="1"/>
  <c r="DW89" i="3" s="1"/>
  <c r="DW88" i="3" s="1"/>
  <c r="DW87" i="3" s="1"/>
  <c r="DW86" i="3" s="1"/>
  <c r="DW85" i="3" s="1"/>
  <c r="DW84" i="3" s="1"/>
  <c r="DW83" i="3" s="1"/>
  <c r="DW82" i="3" s="1"/>
  <c r="DW81" i="3" s="1"/>
  <c r="DW80" i="3" s="1"/>
  <c r="DW79" i="3" s="1"/>
  <c r="DW78" i="3" s="1"/>
  <c r="DW77" i="3" s="1"/>
  <c r="DW76" i="3" s="1"/>
  <c r="DW75" i="3" s="1"/>
  <c r="DW74" i="3" s="1"/>
  <c r="BE101" i="3"/>
  <c r="W66" i="3"/>
  <c r="BE100" i="3"/>
  <c r="W65" i="3"/>
  <c r="BE82" i="3"/>
  <c r="W47" i="3"/>
  <c r="U67" i="3"/>
  <c r="BB102" i="3" s="1"/>
  <c r="BE103" i="3"/>
  <c r="DU103" i="3" s="1"/>
  <c r="DU102" i="3" s="1"/>
  <c r="W68" i="3"/>
  <c r="W40" i="3"/>
  <c r="BE75" i="3"/>
  <c r="BF93" i="3"/>
  <c r="X58" i="3"/>
  <c r="BE80" i="3"/>
  <c r="W45" i="3"/>
  <c r="BE95" i="3"/>
  <c r="W60" i="3"/>
  <c r="BE77" i="3"/>
  <c r="W42" i="3"/>
  <c r="BE99" i="3"/>
  <c r="W64" i="3"/>
  <c r="BE98" i="3"/>
  <c r="W63" i="3"/>
  <c r="BE84" i="3"/>
  <c r="W49" i="3"/>
  <c r="BE76" i="3"/>
  <c r="W41" i="3"/>
  <c r="BE89" i="3"/>
  <c r="W54" i="3"/>
  <c r="T55" i="3"/>
  <c r="BA90" i="3" s="1"/>
  <c r="U59" i="3"/>
  <c r="BB94" i="3" s="1"/>
  <c r="BC96" i="3"/>
  <c r="U61" i="3"/>
  <c r="BC88" i="3"/>
  <c r="U53" i="3"/>
  <c r="BC79" i="3"/>
  <c r="U44" i="3"/>
  <c r="BC97" i="3"/>
  <c r="U62" i="3"/>
  <c r="BC91" i="3"/>
  <c r="U56" i="3"/>
  <c r="T69" i="3"/>
  <c r="BA104" i="3" s="1"/>
  <c r="V57" i="3"/>
  <c r="BC92" i="3" s="1"/>
  <c r="V51" i="3"/>
  <c r="BC86" i="3" s="1"/>
  <c r="W43" i="3"/>
  <c r="BD78" i="3" s="1"/>
  <c r="T52" i="3"/>
  <c r="BA87" i="3" s="1"/>
  <c r="O18" i="1"/>
  <c r="P18" i="1" s="1"/>
  <c r="T39" i="3" l="1"/>
  <c r="BA74" i="3" s="1"/>
  <c r="T50" i="3"/>
  <c r="BA85" i="3" s="1"/>
  <c r="DU101" i="3"/>
  <c r="DU100" i="3" s="1"/>
  <c r="DU99" i="3" s="1"/>
  <c r="DU98" i="3" s="1"/>
  <c r="DU97" i="3" s="1"/>
  <c r="DU96" i="3" s="1"/>
  <c r="DU95" i="3" s="1"/>
  <c r="DU94" i="3" s="1"/>
  <c r="BD81" i="3"/>
  <c r="V46" i="3"/>
  <c r="BD83" i="3"/>
  <c r="V48" i="3"/>
  <c r="DV93" i="3"/>
  <c r="DV92" i="3" s="1"/>
  <c r="DV91" i="3" s="1"/>
  <c r="DV90" i="3" s="1"/>
  <c r="DV89" i="3" s="1"/>
  <c r="DV88" i="3" s="1"/>
  <c r="DV87" i="3" s="1"/>
  <c r="DV86" i="3" s="1"/>
  <c r="DV85" i="3" s="1"/>
  <c r="DV84" i="3" s="1"/>
  <c r="DV83" i="3" s="1"/>
  <c r="DV82" i="3" s="1"/>
  <c r="DV81" i="3" s="1"/>
  <c r="DV80" i="3" s="1"/>
  <c r="DV79" i="3" s="1"/>
  <c r="DV78" i="3" s="1"/>
  <c r="DV77" i="3" s="1"/>
  <c r="DV76" i="3" s="1"/>
  <c r="DV75" i="3" s="1"/>
  <c r="Y74" i="3" s="1"/>
  <c r="Y75" i="3" s="1"/>
  <c r="Y76" i="3" s="1"/>
  <c r="Y77" i="3" s="1"/>
  <c r="Y78" i="3" s="1"/>
  <c r="Y79" i="3" s="1"/>
  <c r="Y80" i="3" s="1"/>
  <c r="Y81" i="3" s="1"/>
  <c r="Y82" i="3" s="1"/>
  <c r="Y83" i="3" s="1"/>
  <c r="Y84" i="3" s="1"/>
  <c r="Y85" i="3" s="1"/>
  <c r="Y86" i="3" s="1"/>
  <c r="Y87" i="3" s="1"/>
  <c r="Y88" i="3" s="1"/>
  <c r="Y89" i="3" s="1"/>
  <c r="Y90" i="3" s="1"/>
  <c r="Y91" i="3" s="1"/>
  <c r="Y92" i="3" s="1"/>
  <c r="Y93" i="3" s="1"/>
  <c r="Y94" i="3" s="1"/>
  <c r="Y95" i="3" s="1"/>
  <c r="Y96" i="3" s="1"/>
  <c r="Y97" i="3" s="1"/>
  <c r="Y98" i="3" s="1"/>
  <c r="Y99" i="3" s="1"/>
  <c r="Y100" i="3" s="1"/>
  <c r="Y101" i="3" s="1"/>
  <c r="Y102" i="3" s="1"/>
  <c r="Y103" i="3" s="1"/>
  <c r="Y104" i="3" s="1"/>
  <c r="Z74" i="3"/>
  <c r="Z75" i="3" s="1"/>
  <c r="Z76" i="3" s="1"/>
  <c r="Z77" i="3" s="1"/>
  <c r="Z78" i="3" s="1"/>
  <c r="Z79" i="3" s="1"/>
  <c r="Z80" i="3" s="1"/>
  <c r="Z81" i="3" s="1"/>
  <c r="Z82" i="3" s="1"/>
  <c r="Z83" i="3" s="1"/>
  <c r="Z84" i="3" s="1"/>
  <c r="Z85" i="3" s="1"/>
  <c r="Z86" i="3" s="1"/>
  <c r="Z87" i="3" s="1"/>
  <c r="Z88" i="3" s="1"/>
  <c r="Z89" i="3" s="1"/>
  <c r="Z90" i="3" s="1"/>
  <c r="Z91" i="3" s="1"/>
  <c r="Z92" i="3" s="1"/>
  <c r="Z93" i="3" s="1"/>
  <c r="Z94" i="3" s="1"/>
  <c r="Z95" i="3" s="1"/>
  <c r="Z96" i="3" s="1"/>
  <c r="Z97" i="3" s="1"/>
  <c r="Z98" i="3" s="1"/>
  <c r="Z99" i="3" s="1"/>
  <c r="Z100" i="3" s="1"/>
  <c r="Z101" i="3" s="1"/>
  <c r="Z102" i="3" s="1"/>
  <c r="Z103" i="3" s="1"/>
  <c r="Z104" i="3" s="1"/>
  <c r="T67" i="3"/>
  <c r="BA102" i="3" s="1"/>
  <c r="BD101" i="3"/>
  <c r="V66" i="3"/>
  <c r="BD80" i="3"/>
  <c r="V45" i="3"/>
  <c r="BD99" i="3"/>
  <c r="V64" i="3"/>
  <c r="BE93" i="3"/>
  <c r="W58" i="3"/>
  <c r="V47" i="3"/>
  <c r="BD82" i="3"/>
  <c r="BD76" i="3"/>
  <c r="V41" i="3"/>
  <c r="BD77" i="3"/>
  <c r="V42" i="3"/>
  <c r="BD103" i="3"/>
  <c r="DT103" i="3" s="1"/>
  <c r="DT102" i="3" s="1"/>
  <c r="V68" i="3"/>
  <c r="BD98" i="3"/>
  <c r="V63" i="3"/>
  <c r="BD100" i="3"/>
  <c r="V65" i="3"/>
  <c r="BD89" i="3"/>
  <c r="V54" i="3"/>
  <c r="BD84" i="3"/>
  <c r="V49" i="3"/>
  <c r="BD95" i="3"/>
  <c r="V60" i="3"/>
  <c r="BD75" i="3"/>
  <c r="V40" i="3"/>
  <c r="S55" i="3"/>
  <c r="AZ90" i="3" s="1"/>
  <c r="T59" i="3"/>
  <c r="BA94" i="3" s="1"/>
  <c r="BB96" i="3"/>
  <c r="T61" i="3"/>
  <c r="BB88" i="3"/>
  <c r="T53" i="3"/>
  <c r="BB97" i="3"/>
  <c r="T62" i="3"/>
  <c r="BB79" i="3"/>
  <c r="T44" i="3"/>
  <c r="BB91" i="3"/>
  <c r="T56" i="3"/>
  <c r="S52" i="3"/>
  <c r="AZ87" i="3" s="1"/>
  <c r="V43" i="3"/>
  <c r="BC78" i="3" s="1"/>
  <c r="U51" i="3"/>
  <c r="BB86" i="3" s="1"/>
  <c r="S69" i="3"/>
  <c r="AZ104" i="3" s="1"/>
  <c r="U57" i="3"/>
  <c r="BB92" i="3" s="1"/>
  <c r="S39" i="3"/>
  <c r="AZ74" i="3" s="1"/>
  <c r="Q18" i="1"/>
  <c r="S50" i="3" l="1"/>
  <c r="AZ85" i="3" s="1"/>
  <c r="BC81" i="3"/>
  <c r="U46" i="3"/>
  <c r="DT101" i="3"/>
  <c r="DT100" i="3" s="1"/>
  <c r="DT99" i="3" s="1"/>
  <c r="DT98" i="3" s="1"/>
  <c r="DT97" i="3" s="1"/>
  <c r="DT96" i="3" s="1"/>
  <c r="DT95" i="3" s="1"/>
  <c r="DT94" i="3" s="1"/>
  <c r="DV74" i="3"/>
  <c r="BC83" i="3"/>
  <c r="U48" i="3"/>
  <c r="S67" i="3"/>
  <c r="AZ102" i="3" s="1"/>
  <c r="BC101" i="3"/>
  <c r="U66" i="3"/>
  <c r="BC84" i="3"/>
  <c r="U49" i="3"/>
  <c r="BC82" i="3"/>
  <c r="U47" i="3"/>
  <c r="BC103" i="3"/>
  <c r="DS103" i="3" s="1"/>
  <c r="DS102" i="3" s="1"/>
  <c r="U68" i="3"/>
  <c r="BD93" i="3"/>
  <c r="V58" i="3"/>
  <c r="BC89" i="3"/>
  <c r="U54" i="3"/>
  <c r="BC77" i="3"/>
  <c r="U42" i="3"/>
  <c r="BC99" i="3"/>
  <c r="U64" i="3"/>
  <c r="U40" i="3"/>
  <c r="BC75" i="3"/>
  <c r="R55" i="3"/>
  <c r="AY90" i="3" s="1"/>
  <c r="BC100" i="3"/>
  <c r="U65" i="3"/>
  <c r="BC76" i="3"/>
  <c r="U41" i="3"/>
  <c r="BC80" i="3"/>
  <c r="U45" i="3"/>
  <c r="BC95" i="3"/>
  <c r="U60" i="3"/>
  <c r="BC98" i="3"/>
  <c r="U63" i="3"/>
  <c r="DU93" i="3"/>
  <c r="DU92" i="3" s="1"/>
  <c r="DU91" i="3" s="1"/>
  <c r="DU90" i="3" s="1"/>
  <c r="DU89" i="3" s="1"/>
  <c r="DU88" i="3" s="1"/>
  <c r="DU87" i="3" s="1"/>
  <c r="DU86" i="3" s="1"/>
  <c r="DU85" i="3" s="1"/>
  <c r="DU84" i="3" s="1"/>
  <c r="DU83" i="3" s="1"/>
  <c r="DU82" i="3" s="1"/>
  <c r="DU81" i="3" s="1"/>
  <c r="DU80" i="3" s="1"/>
  <c r="DU79" i="3" s="1"/>
  <c r="DU78" i="3" s="1"/>
  <c r="DU77" i="3" s="1"/>
  <c r="DU76" i="3" s="1"/>
  <c r="DU75" i="3" s="1"/>
  <c r="S59" i="3"/>
  <c r="AZ94" i="3" s="1"/>
  <c r="BA96" i="3"/>
  <c r="S61" i="3"/>
  <c r="BA88" i="3"/>
  <c r="S53" i="3"/>
  <c r="BA91" i="3"/>
  <c r="S56" i="3"/>
  <c r="BA79" i="3"/>
  <c r="S44" i="3"/>
  <c r="BA97" i="3"/>
  <c r="S62" i="3"/>
  <c r="T51" i="3"/>
  <c r="BA86" i="3" s="1"/>
  <c r="R69" i="3"/>
  <c r="AY104" i="3" s="1"/>
  <c r="T57" i="3"/>
  <c r="BA92" i="3" s="1"/>
  <c r="U43" i="3"/>
  <c r="BB78" i="3" s="1"/>
  <c r="R52" i="3"/>
  <c r="AY87" i="3" s="1"/>
  <c r="R39" i="3"/>
  <c r="AY74" i="3" s="1"/>
  <c r="R18" i="1"/>
  <c r="R50" i="3" l="1"/>
  <c r="AY85" i="3" s="1"/>
  <c r="BB81" i="3"/>
  <c r="T46" i="3"/>
  <c r="DS101" i="3"/>
  <c r="DS100" i="3" s="1"/>
  <c r="DS99" i="3" s="1"/>
  <c r="DS98" i="3" s="1"/>
  <c r="DS97" i="3" s="1"/>
  <c r="DS96" i="3" s="1"/>
  <c r="DS95" i="3" s="1"/>
  <c r="DS94" i="3" s="1"/>
  <c r="R67" i="3"/>
  <c r="AY102" i="3" s="1"/>
  <c r="BB83" i="3"/>
  <c r="T48" i="3"/>
  <c r="Q55" i="3"/>
  <c r="AX90" i="3" s="1"/>
  <c r="DT93" i="3"/>
  <c r="DT92" i="3" s="1"/>
  <c r="DT91" i="3" s="1"/>
  <c r="DT90" i="3" s="1"/>
  <c r="DT89" i="3" s="1"/>
  <c r="DT88" i="3" s="1"/>
  <c r="DT87" i="3" s="1"/>
  <c r="DT86" i="3" s="1"/>
  <c r="DT85" i="3" s="1"/>
  <c r="DT84" i="3" s="1"/>
  <c r="DT83" i="3" s="1"/>
  <c r="DT82" i="3" s="1"/>
  <c r="DT81" i="3" s="1"/>
  <c r="DT80" i="3" s="1"/>
  <c r="DT79" i="3" s="1"/>
  <c r="DT78" i="3" s="1"/>
  <c r="DT77" i="3" s="1"/>
  <c r="DT76" i="3" s="1"/>
  <c r="DT75" i="3" s="1"/>
  <c r="W74" i="3" s="1"/>
  <c r="W75" i="3" s="1"/>
  <c r="W76" i="3" s="1"/>
  <c r="W77" i="3" s="1"/>
  <c r="W78" i="3" s="1"/>
  <c r="W79" i="3" s="1"/>
  <c r="W80" i="3" s="1"/>
  <c r="W81" i="3" s="1"/>
  <c r="W82" i="3" s="1"/>
  <c r="W83" i="3" s="1"/>
  <c r="W84" i="3" s="1"/>
  <c r="W85" i="3" s="1"/>
  <c r="W86" i="3" s="1"/>
  <c r="W87" i="3" s="1"/>
  <c r="W88" i="3" s="1"/>
  <c r="W89" i="3" s="1"/>
  <c r="W90" i="3" s="1"/>
  <c r="W91" i="3" s="1"/>
  <c r="W92" i="3" s="1"/>
  <c r="W93" i="3" s="1"/>
  <c r="W94" i="3" s="1"/>
  <c r="W95" i="3" s="1"/>
  <c r="W96" i="3" s="1"/>
  <c r="W97" i="3" s="1"/>
  <c r="W98" i="3" s="1"/>
  <c r="W99" i="3" s="1"/>
  <c r="W100" i="3" s="1"/>
  <c r="W101" i="3" s="1"/>
  <c r="W102" i="3" s="1"/>
  <c r="W103" i="3" s="1"/>
  <c r="W104" i="3" s="1"/>
  <c r="BB101" i="3"/>
  <c r="T66" i="3"/>
  <c r="R59" i="3"/>
  <c r="AY94" i="3" s="1"/>
  <c r="T40" i="3"/>
  <c r="BB75" i="3"/>
  <c r="BB99" i="3"/>
  <c r="T64" i="3"/>
  <c r="BB76" i="3"/>
  <c r="T41" i="3"/>
  <c r="BB103" i="3"/>
  <c r="DR103" i="3" s="1"/>
  <c r="DR102" i="3" s="1"/>
  <c r="T68" i="3"/>
  <c r="BB80" i="3"/>
  <c r="T45" i="3"/>
  <c r="BC93" i="3"/>
  <c r="U58" i="3"/>
  <c r="BB77" i="3"/>
  <c r="T42" i="3"/>
  <c r="BB98" i="3"/>
  <c r="T63" i="3"/>
  <c r="BB100" i="3"/>
  <c r="T65" i="3"/>
  <c r="BB82" i="3"/>
  <c r="T47" i="3"/>
  <c r="BB89" i="3"/>
  <c r="T54" i="3"/>
  <c r="BB95" i="3"/>
  <c r="T60" i="3"/>
  <c r="BB84" i="3"/>
  <c r="T49" i="3"/>
  <c r="X74" i="3"/>
  <c r="X75" i="3" s="1"/>
  <c r="X76" i="3" s="1"/>
  <c r="X77" i="3" s="1"/>
  <c r="X78" i="3" s="1"/>
  <c r="X79" i="3" s="1"/>
  <c r="X80" i="3" s="1"/>
  <c r="X81" i="3" s="1"/>
  <c r="X82" i="3" s="1"/>
  <c r="X83" i="3" s="1"/>
  <c r="X84" i="3" s="1"/>
  <c r="X85" i="3" s="1"/>
  <c r="X86" i="3" s="1"/>
  <c r="X87" i="3" s="1"/>
  <c r="X88" i="3" s="1"/>
  <c r="X89" i="3" s="1"/>
  <c r="X90" i="3" s="1"/>
  <c r="X91" i="3" s="1"/>
  <c r="X92" i="3" s="1"/>
  <c r="X93" i="3" s="1"/>
  <c r="X94" i="3" s="1"/>
  <c r="X95" i="3" s="1"/>
  <c r="X96" i="3" s="1"/>
  <c r="X97" i="3" s="1"/>
  <c r="X98" i="3" s="1"/>
  <c r="X99" i="3" s="1"/>
  <c r="X100" i="3" s="1"/>
  <c r="X101" i="3" s="1"/>
  <c r="X102" i="3" s="1"/>
  <c r="X103" i="3" s="1"/>
  <c r="X104" i="3" s="1"/>
  <c r="DU74" i="3"/>
  <c r="AZ96" i="3"/>
  <c r="R61" i="3"/>
  <c r="AZ88" i="3"/>
  <c r="R53" i="3"/>
  <c r="AZ97" i="3"/>
  <c r="R62" i="3"/>
  <c r="AZ79" i="3"/>
  <c r="R44" i="3"/>
  <c r="AZ91" i="3"/>
  <c r="R56" i="3"/>
  <c r="S51" i="3"/>
  <c r="AZ86" i="3" s="1"/>
  <c r="Q52" i="3"/>
  <c r="AX87" i="3" s="1"/>
  <c r="Q69" i="3"/>
  <c r="AX104" i="3" s="1"/>
  <c r="T43" i="3"/>
  <c r="BA78" i="3" s="1"/>
  <c r="S57" i="3"/>
  <c r="AZ92" i="3" s="1"/>
  <c r="Q39" i="3"/>
  <c r="AX74" i="3" s="1"/>
  <c r="S18" i="1"/>
  <c r="Q50" i="3" l="1"/>
  <c r="AX85" i="3" s="1"/>
  <c r="Q67" i="3"/>
  <c r="AX102" i="3" s="1"/>
  <c r="DS93" i="3"/>
  <c r="DS92" i="3" s="1"/>
  <c r="DS91" i="3" s="1"/>
  <c r="DS90" i="3" s="1"/>
  <c r="DS89" i="3" s="1"/>
  <c r="DS88" i="3" s="1"/>
  <c r="DS87" i="3" s="1"/>
  <c r="DS86" i="3" s="1"/>
  <c r="DS85" i="3" s="1"/>
  <c r="DS84" i="3" s="1"/>
  <c r="DS83" i="3" s="1"/>
  <c r="DS82" i="3" s="1"/>
  <c r="DS81" i="3" s="1"/>
  <c r="DS80" i="3" s="1"/>
  <c r="DS79" i="3" s="1"/>
  <c r="DS78" i="3" s="1"/>
  <c r="DS77" i="3" s="1"/>
  <c r="DS76" i="3" s="1"/>
  <c r="DS75" i="3" s="1"/>
  <c r="V74" i="3" s="1"/>
  <c r="V75" i="3" s="1"/>
  <c r="V76" i="3" s="1"/>
  <c r="V77" i="3" s="1"/>
  <c r="V78" i="3" s="1"/>
  <c r="V79" i="3" s="1"/>
  <c r="V80" i="3" s="1"/>
  <c r="V81" i="3" s="1"/>
  <c r="V82" i="3" s="1"/>
  <c r="V83" i="3" s="1"/>
  <c r="V84" i="3" s="1"/>
  <c r="V85" i="3" s="1"/>
  <c r="V86" i="3" s="1"/>
  <c r="V87" i="3" s="1"/>
  <c r="V88" i="3" s="1"/>
  <c r="V89" i="3" s="1"/>
  <c r="V90" i="3" s="1"/>
  <c r="V91" i="3" s="1"/>
  <c r="V92" i="3" s="1"/>
  <c r="V93" i="3" s="1"/>
  <c r="V94" i="3" s="1"/>
  <c r="V95" i="3" s="1"/>
  <c r="V96" i="3" s="1"/>
  <c r="V97" i="3" s="1"/>
  <c r="V98" i="3" s="1"/>
  <c r="V99" i="3" s="1"/>
  <c r="V100" i="3" s="1"/>
  <c r="V101" i="3" s="1"/>
  <c r="V102" i="3" s="1"/>
  <c r="V103" i="3" s="1"/>
  <c r="V104" i="3" s="1"/>
  <c r="P55" i="3"/>
  <c r="AW90" i="3" s="1"/>
  <c r="BA81" i="3"/>
  <c r="S46" i="3"/>
  <c r="Q59" i="3"/>
  <c r="AX94" i="3" s="1"/>
  <c r="BA83" i="3"/>
  <c r="S48" i="3"/>
  <c r="DR101" i="3"/>
  <c r="DR100" i="3" s="1"/>
  <c r="DR99" i="3" s="1"/>
  <c r="DR98" i="3" s="1"/>
  <c r="DR97" i="3" s="1"/>
  <c r="DR96" i="3" s="1"/>
  <c r="DR95" i="3" s="1"/>
  <c r="DR94" i="3" s="1"/>
  <c r="DT74" i="3"/>
  <c r="BA101" i="3"/>
  <c r="S66" i="3"/>
  <c r="BA76" i="3"/>
  <c r="S41" i="3"/>
  <c r="S47" i="3"/>
  <c r="BA82" i="3"/>
  <c r="BB93" i="3"/>
  <c r="T58" i="3"/>
  <c r="BA99" i="3"/>
  <c r="S64" i="3"/>
  <c r="BA89" i="3"/>
  <c r="S54" i="3"/>
  <c r="BA84" i="3"/>
  <c r="S49" i="3"/>
  <c r="BA100" i="3"/>
  <c r="S65" i="3"/>
  <c r="BA80" i="3"/>
  <c r="S45" i="3"/>
  <c r="BA95" i="3"/>
  <c r="S60" i="3"/>
  <c r="BA98" i="3"/>
  <c r="S63" i="3"/>
  <c r="BA75" i="3"/>
  <c r="S40" i="3"/>
  <c r="BA77" i="3"/>
  <c r="S42" i="3"/>
  <c r="BA103" i="3"/>
  <c r="DQ103" i="3" s="1"/>
  <c r="DQ102" i="3" s="1"/>
  <c r="S68" i="3"/>
  <c r="AY96" i="3"/>
  <c r="Q61" i="3"/>
  <c r="AY88" i="3"/>
  <c r="Q53" i="3"/>
  <c r="AY91" i="3"/>
  <c r="Q56" i="3"/>
  <c r="AY79" i="3"/>
  <c r="Q44" i="3"/>
  <c r="AY97" i="3"/>
  <c r="Q62" i="3"/>
  <c r="R57" i="3"/>
  <c r="AY92" i="3" s="1"/>
  <c r="S43" i="3"/>
  <c r="AZ78" i="3" s="1"/>
  <c r="R51" i="3"/>
  <c r="AY86" i="3" s="1"/>
  <c r="P52" i="3"/>
  <c r="AW87" i="3" s="1"/>
  <c r="P69" i="3"/>
  <c r="AW104" i="3" s="1"/>
  <c r="P39" i="3"/>
  <c r="AW74" i="3" s="1"/>
  <c r="T18" i="1"/>
  <c r="P50" i="3" l="1"/>
  <c r="AW85" i="3" s="1"/>
  <c r="P67" i="3"/>
  <c r="AW102" i="3" s="1"/>
  <c r="O55" i="3"/>
  <c r="AV90" i="3" s="1"/>
  <c r="P59" i="3"/>
  <c r="AW94" i="3" s="1"/>
  <c r="DS74" i="3"/>
  <c r="AZ81" i="3"/>
  <c r="R46" i="3"/>
  <c r="DQ101" i="3"/>
  <c r="DQ100" i="3" s="1"/>
  <c r="DQ99" i="3" s="1"/>
  <c r="DQ98" i="3" s="1"/>
  <c r="DQ97" i="3" s="1"/>
  <c r="DQ96" i="3" s="1"/>
  <c r="DQ95" i="3" s="1"/>
  <c r="DQ94" i="3" s="1"/>
  <c r="AZ83" i="3"/>
  <c r="R48" i="3"/>
  <c r="DR93" i="3"/>
  <c r="DR92" i="3" s="1"/>
  <c r="DR91" i="3" s="1"/>
  <c r="DR90" i="3" s="1"/>
  <c r="DR89" i="3" s="1"/>
  <c r="DR88" i="3" s="1"/>
  <c r="DR87" i="3" s="1"/>
  <c r="DR86" i="3" s="1"/>
  <c r="DR85" i="3" s="1"/>
  <c r="DR84" i="3" s="1"/>
  <c r="DR83" i="3" s="1"/>
  <c r="DR82" i="3" s="1"/>
  <c r="DR81" i="3" s="1"/>
  <c r="DR80" i="3" s="1"/>
  <c r="DR79" i="3" s="1"/>
  <c r="DR78" i="3" s="1"/>
  <c r="DR77" i="3" s="1"/>
  <c r="DR76" i="3" s="1"/>
  <c r="DR75" i="3" s="1"/>
  <c r="DR74" i="3" s="1"/>
  <c r="AZ101" i="3"/>
  <c r="R66" i="3"/>
  <c r="R40" i="3"/>
  <c r="AZ75" i="3"/>
  <c r="AZ100" i="3"/>
  <c r="R65" i="3"/>
  <c r="BA93" i="3"/>
  <c r="S58" i="3"/>
  <c r="AZ98" i="3"/>
  <c r="R63" i="3"/>
  <c r="AZ84" i="3"/>
  <c r="R49" i="3"/>
  <c r="AZ82" i="3"/>
  <c r="R47" i="3"/>
  <c r="AZ103" i="3"/>
  <c r="DP103" i="3" s="1"/>
  <c r="DP102" i="3" s="1"/>
  <c r="R68" i="3"/>
  <c r="AZ95" i="3"/>
  <c r="R60" i="3"/>
  <c r="AZ89" i="3"/>
  <c r="R54" i="3"/>
  <c r="AZ76" i="3"/>
  <c r="R41" i="3"/>
  <c r="AZ77" i="3"/>
  <c r="R42" i="3"/>
  <c r="AZ80" i="3"/>
  <c r="R45" i="3"/>
  <c r="AZ99" i="3"/>
  <c r="R64" i="3"/>
  <c r="AX96" i="3"/>
  <c r="P61" i="3"/>
  <c r="AX88" i="3"/>
  <c r="P53" i="3"/>
  <c r="AX97" i="3"/>
  <c r="P62" i="3"/>
  <c r="AX79" i="3"/>
  <c r="P44" i="3"/>
  <c r="AX91" i="3"/>
  <c r="P56" i="3"/>
  <c r="R43" i="3"/>
  <c r="AY78" i="3" s="1"/>
  <c r="O69" i="3"/>
  <c r="AV104" i="3" s="1"/>
  <c r="Q57" i="3"/>
  <c r="AX92" i="3" s="1"/>
  <c r="O52" i="3"/>
  <c r="AV87" i="3" s="1"/>
  <c r="Q51" i="3"/>
  <c r="AX86" i="3" s="1"/>
  <c r="O39" i="3"/>
  <c r="AV74" i="3" s="1"/>
  <c r="U18" i="1"/>
  <c r="O50" i="3" l="1"/>
  <c r="AV85" i="3" s="1"/>
  <c r="O67" i="3"/>
  <c r="AV102" i="3" s="1"/>
  <c r="N55" i="3"/>
  <c r="AU90" i="3" s="1"/>
  <c r="O59" i="3"/>
  <c r="AV94" i="3" s="1"/>
  <c r="DQ93" i="3"/>
  <c r="DQ92" i="3" s="1"/>
  <c r="DQ91" i="3" s="1"/>
  <c r="DQ90" i="3" s="1"/>
  <c r="DQ89" i="3" s="1"/>
  <c r="DQ88" i="3" s="1"/>
  <c r="DQ87" i="3" s="1"/>
  <c r="DQ86" i="3" s="1"/>
  <c r="DQ85" i="3" s="1"/>
  <c r="DQ84" i="3" s="1"/>
  <c r="DQ83" i="3" s="1"/>
  <c r="DQ82" i="3" s="1"/>
  <c r="DQ81" i="3" s="1"/>
  <c r="DQ80" i="3" s="1"/>
  <c r="DQ79" i="3" s="1"/>
  <c r="DQ78" i="3" s="1"/>
  <c r="DQ77" i="3" s="1"/>
  <c r="DQ76" i="3" s="1"/>
  <c r="DQ75" i="3" s="1"/>
  <c r="T74" i="3" s="1"/>
  <c r="T75" i="3" s="1"/>
  <c r="T76" i="3" s="1"/>
  <c r="T77" i="3" s="1"/>
  <c r="T78" i="3" s="1"/>
  <c r="T79" i="3" s="1"/>
  <c r="T80" i="3" s="1"/>
  <c r="T81" i="3" s="1"/>
  <c r="T82" i="3" s="1"/>
  <c r="T83" i="3" s="1"/>
  <c r="T84" i="3" s="1"/>
  <c r="T85" i="3" s="1"/>
  <c r="T86" i="3" s="1"/>
  <c r="T87" i="3" s="1"/>
  <c r="T88" i="3" s="1"/>
  <c r="T89" i="3" s="1"/>
  <c r="T90" i="3" s="1"/>
  <c r="T91" i="3" s="1"/>
  <c r="T92" i="3" s="1"/>
  <c r="T93" i="3" s="1"/>
  <c r="T94" i="3" s="1"/>
  <c r="T95" i="3" s="1"/>
  <c r="T96" i="3" s="1"/>
  <c r="T97" i="3" s="1"/>
  <c r="T98" i="3" s="1"/>
  <c r="T99" i="3" s="1"/>
  <c r="T100" i="3" s="1"/>
  <c r="T101" i="3" s="1"/>
  <c r="T102" i="3" s="1"/>
  <c r="T103" i="3" s="1"/>
  <c r="T104" i="3" s="1"/>
  <c r="AY81" i="3"/>
  <c r="Q46" i="3"/>
  <c r="DP101" i="3"/>
  <c r="DP100" i="3" s="1"/>
  <c r="DP99" i="3" s="1"/>
  <c r="DP98" i="3" s="1"/>
  <c r="DP97" i="3" s="1"/>
  <c r="DP96" i="3" s="1"/>
  <c r="DP95" i="3" s="1"/>
  <c r="DP94" i="3" s="1"/>
  <c r="AY83" i="3"/>
  <c r="Q48" i="3"/>
  <c r="U74" i="3"/>
  <c r="U75" i="3" s="1"/>
  <c r="U76" i="3" s="1"/>
  <c r="U77" i="3" s="1"/>
  <c r="U78" i="3" s="1"/>
  <c r="U79" i="3" s="1"/>
  <c r="U80" i="3" s="1"/>
  <c r="U81" i="3" s="1"/>
  <c r="U82" i="3" s="1"/>
  <c r="U83" i="3" s="1"/>
  <c r="U84" i="3" s="1"/>
  <c r="U85" i="3" s="1"/>
  <c r="U86" i="3" s="1"/>
  <c r="U87" i="3" s="1"/>
  <c r="U88" i="3" s="1"/>
  <c r="U89" i="3" s="1"/>
  <c r="U90" i="3" s="1"/>
  <c r="U91" i="3" s="1"/>
  <c r="U92" i="3" s="1"/>
  <c r="U93" i="3" s="1"/>
  <c r="U94" i="3" s="1"/>
  <c r="U95" i="3" s="1"/>
  <c r="U96" i="3" s="1"/>
  <c r="U97" i="3" s="1"/>
  <c r="U98" i="3" s="1"/>
  <c r="U99" i="3" s="1"/>
  <c r="U100" i="3" s="1"/>
  <c r="U101" i="3" s="1"/>
  <c r="U102" i="3" s="1"/>
  <c r="U103" i="3" s="1"/>
  <c r="U104" i="3" s="1"/>
  <c r="AY101" i="3"/>
  <c r="Q66" i="3"/>
  <c r="AY95" i="3"/>
  <c r="Q60" i="3"/>
  <c r="AY98" i="3"/>
  <c r="Q63" i="3"/>
  <c r="AY77" i="3"/>
  <c r="Q42" i="3"/>
  <c r="AY103" i="3"/>
  <c r="DO103" i="3" s="1"/>
  <c r="DO102" i="3" s="1"/>
  <c r="Q68" i="3"/>
  <c r="AZ93" i="3"/>
  <c r="R58" i="3"/>
  <c r="AY76" i="3"/>
  <c r="Q41" i="3"/>
  <c r="AY82" i="3"/>
  <c r="Q47" i="3"/>
  <c r="AY100" i="3"/>
  <c r="Q65" i="3"/>
  <c r="AY99" i="3"/>
  <c r="Q64" i="3"/>
  <c r="AY89" i="3"/>
  <c r="Q54" i="3"/>
  <c r="AY84" i="3"/>
  <c r="Q49" i="3"/>
  <c r="AY80" i="3"/>
  <c r="Q45" i="3"/>
  <c r="AY75" i="3"/>
  <c r="Q40" i="3"/>
  <c r="AW96" i="3"/>
  <c r="O61" i="3"/>
  <c r="AW88" i="3"/>
  <c r="O53" i="3"/>
  <c r="AW91" i="3"/>
  <c r="O56" i="3"/>
  <c r="AW79" i="3"/>
  <c r="O44" i="3"/>
  <c r="AW97" i="3"/>
  <c r="O62" i="3"/>
  <c r="P57" i="3"/>
  <c r="AW92" i="3" s="1"/>
  <c r="N50" i="3"/>
  <c r="AU85" i="3" s="1"/>
  <c r="N67" i="3"/>
  <c r="AU102" i="3" s="1"/>
  <c r="N69" i="3"/>
  <c r="AU104" i="3" s="1"/>
  <c r="M55" i="3"/>
  <c r="AT90" i="3" s="1"/>
  <c r="Q43" i="3"/>
  <c r="AX78" i="3" s="1"/>
  <c r="N52" i="3"/>
  <c r="AU87" i="3" s="1"/>
  <c r="P51" i="3"/>
  <c r="AW86" i="3" s="1"/>
  <c r="N39" i="3"/>
  <c r="AU74" i="3" s="1"/>
  <c r="V18" i="1"/>
  <c r="N59" i="3" l="1"/>
  <c r="AU94" i="3" s="1"/>
  <c r="DO101" i="3"/>
  <c r="DO100" i="3" s="1"/>
  <c r="DO99" i="3" s="1"/>
  <c r="DO98" i="3" s="1"/>
  <c r="DO97" i="3" s="1"/>
  <c r="DO96" i="3" s="1"/>
  <c r="DO95" i="3" s="1"/>
  <c r="DO94" i="3" s="1"/>
  <c r="DQ74" i="3"/>
  <c r="AX81" i="3"/>
  <c r="P46" i="3"/>
  <c r="DP93" i="3"/>
  <c r="DP92" i="3" s="1"/>
  <c r="DP91" i="3" s="1"/>
  <c r="DP90" i="3" s="1"/>
  <c r="DP89" i="3" s="1"/>
  <c r="DP88" i="3" s="1"/>
  <c r="DP87" i="3" s="1"/>
  <c r="DP86" i="3" s="1"/>
  <c r="DP85" i="3" s="1"/>
  <c r="DP84" i="3" s="1"/>
  <c r="DP83" i="3" s="1"/>
  <c r="DP82" i="3" s="1"/>
  <c r="DP81" i="3" s="1"/>
  <c r="DP80" i="3" s="1"/>
  <c r="DP79" i="3" s="1"/>
  <c r="DP78" i="3" s="1"/>
  <c r="DP77" i="3" s="1"/>
  <c r="DP76" i="3" s="1"/>
  <c r="DP75" i="3" s="1"/>
  <c r="S74" i="3" s="1"/>
  <c r="S75" i="3" s="1"/>
  <c r="S76" i="3" s="1"/>
  <c r="S77" i="3" s="1"/>
  <c r="S78" i="3" s="1"/>
  <c r="S79" i="3" s="1"/>
  <c r="S80" i="3" s="1"/>
  <c r="S81" i="3" s="1"/>
  <c r="S82" i="3" s="1"/>
  <c r="S83" i="3" s="1"/>
  <c r="S84" i="3" s="1"/>
  <c r="S85" i="3" s="1"/>
  <c r="S86" i="3" s="1"/>
  <c r="S87" i="3" s="1"/>
  <c r="S88" i="3" s="1"/>
  <c r="S89" i="3" s="1"/>
  <c r="S90" i="3" s="1"/>
  <c r="S91" i="3" s="1"/>
  <c r="S92" i="3" s="1"/>
  <c r="S93" i="3" s="1"/>
  <c r="S94" i="3" s="1"/>
  <c r="S95" i="3" s="1"/>
  <c r="S96" i="3" s="1"/>
  <c r="S97" i="3" s="1"/>
  <c r="S98" i="3" s="1"/>
  <c r="S99" i="3" s="1"/>
  <c r="S100" i="3" s="1"/>
  <c r="S101" i="3" s="1"/>
  <c r="S102" i="3" s="1"/>
  <c r="S103" i="3" s="1"/>
  <c r="S104" i="3" s="1"/>
  <c r="AX83" i="3"/>
  <c r="P48" i="3"/>
  <c r="AX101" i="3"/>
  <c r="P66" i="3"/>
  <c r="AX84" i="3"/>
  <c r="P49" i="3"/>
  <c r="AX103" i="3"/>
  <c r="DN103" i="3" s="1"/>
  <c r="DN102" i="3" s="1"/>
  <c r="P68" i="3"/>
  <c r="AX89" i="3"/>
  <c r="P54" i="3"/>
  <c r="AX77" i="3"/>
  <c r="P42" i="3"/>
  <c r="AX76" i="3"/>
  <c r="P41" i="3"/>
  <c r="P40" i="3"/>
  <c r="AX75" i="3"/>
  <c r="AX98" i="3"/>
  <c r="P63" i="3"/>
  <c r="AX82" i="3"/>
  <c r="P47" i="3"/>
  <c r="AX80" i="3"/>
  <c r="P45" i="3"/>
  <c r="AY93" i="3"/>
  <c r="Q58" i="3"/>
  <c r="AX95" i="3"/>
  <c r="P60" i="3"/>
  <c r="AX99" i="3"/>
  <c r="P64" i="3"/>
  <c r="AX100" i="3"/>
  <c r="P65" i="3"/>
  <c r="AV96" i="3"/>
  <c r="N61" i="3"/>
  <c r="AV88" i="3"/>
  <c r="N53" i="3"/>
  <c r="AV97" i="3"/>
  <c r="N62" i="3"/>
  <c r="AV79" i="3"/>
  <c r="N44" i="3"/>
  <c r="AV91" i="3"/>
  <c r="N56" i="3"/>
  <c r="M69" i="3"/>
  <c r="AT104" i="3" s="1"/>
  <c r="L55" i="3"/>
  <c r="AS90" i="3" s="1"/>
  <c r="M67" i="3"/>
  <c r="AT102" i="3" s="1"/>
  <c r="P43" i="3"/>
  <c r="AW78" i="3" s="1"/>
  <c r="M50" i="3"/>
  <c r="AT85" i="3" s="1"/>
  <c r="O51" i="3"/>
  <c r="AV86" i="3" s="1"/>
  <c r="M52" i="3"/>
  <c r="AT87" i="3" s="1"/>
  <c r="O57" i="3"/>
  <c r="AV92" i="3" s="1"/>
  <c r="M39" i="3"/>
  <c r="AT74" i="3" s="1"/>
  <c r="W18" i="1"/>
  <c r="M59" i="3" l="1"/>
  <c r="AT94" i="3" s="1"/>
  <c r="AW81" i="3"/>
  <c r="O46" i="3"/>
  <c r="DN101" i="3"/>
  <c r="DN100" i="3" s="1"/>
  <c r="DN99" i="3" s="1"/>
  <c r="DN98" i="3" s="1"/>
  <c r="DN97" i="3" s="1"/>
  <c r="DN96" i="3" s="1"/>
  <c r="DN95" i="3" s="1"/>
  <c r="DN94" i="3" s="1"/>
  <c r="DP74" i="3"/>
  <c r="AW83" i="3"/>
  <c r="O48" i="3"/>
  <c r="DO93" i="3"/>
  <c r="DO92" i="3" s="1"/>
  <c r="DO91" i="3" s="1"/>
  <c r="DO90" i="3" s="1"/>
  <c r="DO89" i="3" s="1"/>
  <c r="DO88" i="3" s="1"/>
  <c r="DO87" i="3" s="1"/>
  <c r="DO86" i="3" s="1"/>
  <c r="DO85" i="3" s="1"/>
  <c r="DO84" i="3" s="1"/>
  <c r="DO83" i="3" s="1"/>
  <c r="DO82" i="3" s="1"/>
  <c r="DO81" i="3" s="1"/>
  <c r="DO80" i="3" s="1"/>
  <c r="DO79" i="3" s="1"/>
  <c r="DO78" i="3" s="1"/>
  <c r="DO77" i="3" s="1"/>
  <c r="DO76" i="3" s="1"/>
  <c r="DO75" i="3" s="1"/>
  <c r="R74" i="3" s="1"/>
  <c r="R75" i="3" s="1"/>
  <c r="R76" i="3" s="1"/>
  <c r="R77" i="3" s="1"/>
  <c r="R78" i="3" s="1"/>
  <c r="R79" i="3" s="1"/>
  <c r="R80" i="3" s="1"/>
  <c r="R81" i="3" s="1"/>
  <c r="R82" i="3" s="1"/>
  <c r="R83" i="3" s="1"/>
  <c r="R84" i="3" s="1"/>
  <c r="R85" i="3" s="1"/>
  <c r="R86" i="3" s="1"/>
  <c r="R87" i="3" s="1"/>
  <c r="R88" i="3" s="1"/>
  <c r="R89" i="3" s="1"/>
  <c r="R90" i="3" s="1"/>
  <c r="R91" i="3" s="1"/>
  <c r="R92" i="3" s="1"/>
  <c r="R93" i="3" s="1"/>
  <c r="R94" i="3" s="1"/>
  <c r="R95" i="3" s="1"/>
  <c r="R96" i="3" s="1"/>
  <c r="R97" i="3" s="1"/>
  <c r="R98" i="3" s="1"/>
  <c r="R99" i="3" s="1"/>
  <c r="R100" i="3" s="1"/>
  <c r="R101" i="3" s="1"/>
  <c r="R102" i="3" s="1"/>
  <c r="R103" i="3" s="1"/>
  <c r="R104" i="3" s="1"/>
  <c r="AW101" i="3"/>
  <c r="O66" i="3"/>
  <c r="AW98" i="3"/>
  <c r="O63" i="3"/>
  <c r="AW89" i="3"/>
  <c r="O54" i="3"/>
  <c r="AX93" i="3"/>
  <c r="P58" i="3"/>
  <c r="AW95" i="3"/>
  <c r="O60" i="3"/>
  <c r="AW100" i="3"/>
  <c r="O65" i="3"/>
  <c r="AW80" i="3"/>
  <c r="O45" i="3"/>
  <c r="AW75" i="3"/>
  <c r="O40" i="3"/>
  <c r="AW103" i="3"/>
  <c r="DM103" i="3" s="1"/>
  <c r="DM102" i="3" s="1"/>
  <c r="O68" i="3"/>
  <c r="AW76" i="3"/>
  <c r="O41" i="3"/>
  <c r="AW99" i="3"/>
  <c r="O64" i="3"/>
  <c r="AW84" i="3"/>
  <c r="O49" i="3"/>
  <c r="AW82" i="3"/>
  <c r="O47" i="3"/>
  <c r="AW77" i="3"/>
  <c r="O42" i="3"/>
  <c r="AU96" i="3"/>
  <c r="M61" i="3"/>
  <c r="AU88" i="3"/>
  <c r="M53" i="3"/>
  <c r="AU91" i="3"/>
  <c r="M56" i="3"/>
  <c r="AU79" i="3"/>
  <c r="M44" i="3"/>
  <c r="AU97" i="3"/>
  <c r="M62" i="3"/>
  <c r="N51" i="3"/>
  <c r="AU86" i="3" s="1"/>
  <c r="L67" i="3"/>
  <c r="AS102" i="3" s="1"/>
  <c r="L69" i="3"/>
  <c r="AS104" i="3" s="1"/>
  <c r="L50" i="3"/>
  <c r="AS85" i="3" s="1"/>
  <c r="K55" i="3"/>
  <c r="AR90" i="3" s="1"/>
  <c r="N57" i="3"/>
  <c r="AU92" i="3" s="1"/>
  <c r="O43" i="3"/>
  <c r="AV78" i="3" s="1"/>
  <c r="L52" i="3"/>
  <c r="AS87" i="3" s="1"/>
  <c r="L39" i="3"/>
  <c r="AS74" i="3" s="1"/>
  <c r="X18" i="1"/>
  <c r="DM101" i="3" l="1"/>
  <c r="L59" i="3"/>
  <c r="AS94" i="3" s="1"/>
  <c r="DN93" i="3"/>
  <c r="DN92" i="3" s="1"/>
  <c r="DN91" i="3" s="1"/>
  <c r="DN90" i="3" s="1"/>
  <c r="DN89" i="3" s="1"/>
  <c r="DN88" i="3" s="1"/>
  <c r="DN87" i="3" s="1"/>
  <c r="DN86" i="3" s="1"/>
  <c r="DN85" i="3" s="1"/>
  <c r="DN84" i="3" s="1"/>
  <c r="DN83" i="3" s="1"/>
  <c r="DN82" i="3" s="1"/>
  <c r="DN81" i="3" s="1"/>
  <c r="DN80" i="3" s="1"/>
  <c r="DN79" i="3" s="1"/>
  <c r="DN78" i="3" s="1"/>
  <c r="DN77" i="3" s="1"/>
  <c r="DN76" i="3" s="1"/>
  <c r="DN75" i="3" s="1"/>
  <c r="DN74" i="3" s="1"/>
  <c r="AV81" i="3"/>
  <c r="N46" i="3"/>
  <c r="AV83" i="3"/>
  <c r="N48" i="3"/>
  <c r="DO74" i="3"/>
  <c r="DM100" i="3"/>
  <c r="DM99" i="3" s="1"/>
  <c r="DM98" i="3" s="1"/>
  <c r="DM97" i="3" s="1"/>
  <c r="DM96" i="3" s="1"/>
  <c r="DM95" i="3" s="1"/>
  <c r="DM94" i="3" s="1"/>
  <c r="AV101" i="3"/>
  <c r="N66" i="3"/>
  <c r="AW93" i="3"/>
  <c r="O58" i="3"/>
  <c r="AV99" i="3"/>
  <c r="N64" i="3"/>
  <c r="AV84" i="3"/>
  <c r="N49" i="3"/>
  <c r="AV80" i="3"/>
  <c r="N45" i="3"/>
  <c r="AV89" i="3"/>
  <c r="N54" i="3"/>
  <c r="N40" i="3"/>
  <c r="AV75" i="3"/>
  <c r="AV76" i="3"/>
  <c r="N41" i="3"/>
  <c r="AV100" i="3"/>
  <c r="N65" i="3"/>
  <c r="AV98" i="3"/>
  <c r="N63" i="3"/>
  <c r="AV77" i="3"/>
  <c r="N42" i="3"/>
  <c r="AV82" i="3"/>
  <c r="N47" i="3"/>
  <c r="AV103" i="3"/>
  <c r="DL103" i="3" s="1"/>
  <c r="DL102" i="3" s="1"/>
  <c r="N68" i="3"/>
  <c r="AV95" i="3"/>
  <c r="N60" i="3"/>
  <c r="AT96" i="3"/>
  <c r="L61" i="3"/>
  <c r="AT88" i="3"/>
  <c r="L53" i="3"/>
  <c r="AT79" i="3"/>
  <c r="L44" i="3"/>
  <c r="AT91" i="3"/>
  <c r="L56" i="3"/>
  <c r="AT97" i="3"/>
  <c r="L62" i="3"/>
  <c r="K50" i="3"/>
  <c r="AR85" i="3" s="1"/>
  <c r="K67" i="3"/>
  <c r="AR102" i="3" s="1"/>
  <c r="K52" i="3"/>
  <c r="AR87" i="3" s="1"/>
  <c r="M51" i="3"/>
  <c r="AT86" i="3" s="1"/>
  <c r="K69" i="3"/>
  <c r="AR104" i="3" s="1"/>
  <c r="N43" i="3"/>
  <c r="AU78" i="3" s="1"/>
  <c r="J55" i="3"/>
  <c r="AQ90" i="3" s="1"/>
  <c r="M57" i="3"/>
  <c r="AT92" i="3" s="1"/>
  <c r="K39" i="3"/>
  <c r="AR74" i="3" s="1"/>
  <c r="Y18" i="1"/>
  <c r="K59" i="3" l="1"/>
  <c r="AR94" i="3" s="1"/>
  <c r="DL101" i="3"/>
  <c r="DL100" i="3" s="1"/>
  <c r="DL99" i="3" s="1"/>
  <c r="DL98" i="3" s="1"/>
  <c r="DL97" i="3" s="1"/>
  <c r="DL96" i="3" s="1"/>
  <c r="DL95" i="3" s="1"/>
  <c r="DL94" i="3" s="1"/>
  <c r="Q74" i="3"/>
  <c r="Q75" i="3" s="1"/>
  <c r="Q76" i="3" s="1"/>
  <c r="Q77" i="3" s="1"/>
  <c r="Q78" i="3" s="1"/>
  <c r="Q79" i="3" s="1"/>
  <c r="Q80" i="3" s="1"/>
  <c r="Q81" i="3" s="1"/>
  <c r="Q82" i="3" s="1"/>
  <c r="Q83" i="3" s="1"/>
  <c r="Q84" i="3" s="1"/>
  <c r="Q85" i="3" s="1"/>
  <c r="Q86" i="3" s="1"/>
  <c r="Q87" i="3" s="1"/>
  <c r="Q88" i="3" s="1"/>
  <c r="Q89" i="3" s="1"/>
  <c r="Q90" i="3" s="1"/>
  <c r="Q91" i="3" s="1"/>
  <c r="Q92" i="3" s="1"/>
  <c r="Q93" i="3" s="1"/>
  <c r="Q94" i="3" s="1"/>
  <c r="Q95" i="3" s="1"/>
  <c r="Q96" i="3" s="1"/>
  <c r="Q97" i="3" s="1"/>
  <c r="Q98" i="3" s="1"/>
  <c r="Q99" i="3" s="1"/>
  <c r="Q100" i="3" s="1"/>
  <c r="Q101" i="3" s="1"/>
  <c r="Q102" i="3" s="1"/>
  <c r="Q103" i="3" s="1"/>
  <c r="Q104" i="3" s="1"/>
  <c r="AU81" i="3"/>
  <c r="M46" i="3"/>
  <c r="AU83" i="3"/>
  <c r="M48" i="3"/>
  <c r="DM93" i="3"/>
  <c r="DM92" i="3" s="1"/>
  <c r="DM91" i="3" s="1"/>
  <c r="DM90" i="3" s="1"/>
  <c r="DM89" i="3" s="1"/>
  <c r="DM88" i="3" s="1"/>
  <c r="DM87" i="3" s="1"/>
  <c r="DM86" i="3" s="1"/>
  <c r="DM85" i="3" s="1"/>
  <c r="DM84" i="3" s="1"/>
  <c r="DM83" i="3" s="1"/>
  <c r="DM82" i="3" s="1"/>
  <c r="DM81" i="3" s="1"/>
  <c r="DM80" i="3" s="1"/>
  <c r="DM79" i="3" s="1"/>
  <c r="DM78" i="3" s="1"/>
  <c r="DM77" i="3" s="1"/>
  <c r="DM76" i="3" s="1"/>
  <c r="DM75" i="3" s="1"/>
  <c r="P74" i="3" s="1"/>
  <c r="P75" i="3" s="1"/>
  <c r="P76" i="3" s="1"/>
  <c r="P77" i="3" s="1"/>
  <c r="P78" i="3" s="1"/>
  <c r="P79" i="3" s="1"/>
  <c r="P80" i="3" s="1"/>
  <c r="P81" i="3" s="1"/>
  <c r="P82" i="3" s="1"/>
  <c r="P83" i="3" s="1"/>
  <c r="P84" i="3" s="1"/>
  <c r="P85" i="3" s="1"/>
  <c r="P86" i="3" s="1"/>
  <c r="P87" i="3" s="1"/>
  <c r="P88" i="3" s="1"/>
  <c r="P89" i="3" s="1"/>
  <c r="P90" i="3" s="1"/>
  <c r="P91" i="3" s="1"/>
  <c r="P92" i="3" s="1"/>
  <c r="P93" i="3" s="1"/>
  <c r="P94" i="3" s="1"/>
  <c r="P95" i="3" s="1"/>
  <c r="P96" i="3" s="1"/>
  <c r="P97" i="3" s="1"/>
  <c r="P98" i="3" s="1"/>
  <c r="P99" i="3" s="1"/>
  <c r="P100" i="3" s="1"/>
  <c r="P101" i="3" s="1"/>
  <c r="P102" i="3" s="1"/>
  <c r="P103" i="3" s="1"/>
  <c r="P104" i="3" s="1"/>
  <c r="AU101" i="3"/>
  <c r="M66" i="3"/>
  <c r="AU82" i="3"/>
  <c r="M47" i="3"/>
  <c r="AU76" i="3"/>
  <c r="M41" i="3"/>
  <c r="AU84" i="3"/>
  <c r="M49" i="3"/>
  <c r="AU80" i="3"/>
  <c r="M45" i="3"/>
  <c r="AU77" i="3"/>
  <c r="M42" i="3"/>
  <c r="AU75" i="3"/>
  <c r="M40" i="3"/>
  <c r="AU99" i="3"/>
  <c r="M64" i="3"/>
  <c r="AU95" i="3"/>
  <c r="M60" i="3"/>
  <c r="AU89" i="3"/>
  <c r="M54" i="3"/>
  <c r="AV93" i="3"/>
  <c r="N58" i="3"/>
  <c r="AU98" i="3"/>
  <c r="M63" i="3"/>
  <c r="AU103" i="3"/>
  <c r="DK103" i="3" s="1"/>
  <c r="DK102" i="3" s="1"/>
  <c r="M68" i="3"/>
  <c r="AU100" i="3"/>
  <c r="M65" i="3"/>
  <c r="AS96" i="3"/>
  <c r="K61" i="3"/>
  <c r="AS88" i="3"/>
  <c r="K53" i="3"/>
  <c r="AS97" i="3"/>
  <c r="K62" i="3"/>
  <c r="AS91" i="3"/>
  <c r="K56" i="3"/>
  <c r="AS79" i="3"/>
  <c r="K44" i="3"/>
  <c r="J67" i="3"/>
  <c r="AQ102" i="3" s="1"/>
  <c r="J50" i="3"/>
  <c r="AQ85" i="3" s="1"/>
  <c r="J59" i="3"/>
  <c r="AQ94" i="3" s="1"/>
  <c r="L57" i="3"/>
  <c r="AS92" i="3" s="1"/>
  <c r="L51" i="3"/>
  <c r="AS86" i="3" s="1"/>
  <c r="M43" i="3"/>
  <c r="AT78" i="3" s="1"/>
  <c r="J52" i="3"/>
  <c r="AQ87" i="3" s="1"/>
  <c r="I55" i="3"/>
  <c r="AP90" i="3" s="1"/>
  <c r="J69" i="3"/>
  <c r="AQ104" i="3" s="1"/>
  <c r="J39" i="3"/>
  <c r="AQ74" i="3" s="1"/>
  <c r="Z18" i="1"/>
  <c r="DK101" i="3" l="1"/>
  <c r="DK100" i="3" s="1"/>
  <c r="DK99" i="3" s="1"/>
  <c r="DK98" i="3" s="1"/>
  <c r="DK97" i="3" s="1"/>
  <c r="DK96" i="3" s="1"/>
  <c r="DK95" i="3" s="1"/>
  <c r="DK94" i="3" s="1"/>
  <c r="AT81" i="3"/>
  <c r="L46" i="3"/>
  <c r="AT83" i="3"/>
  <c r="L48" i="3"/>
  <c r="DL93" i="3"/>
  <c r="DL92" i="3" s="1"/>
  <c r="DL91" i="3" s="1"/>
  <c r="DL90" i="3" s="1"/>
  <c r="DL89" i="3" s="1"/>
  <c r="DL88" i="3" s="1"/>
  <c r="DL87" i="3" s="1"/>
  <c r="DL86" i="3" s="1"/>
  <c r="DL85" i="3" s="1"/>
  <c r="DL84" i="3" s="1"/>
  <c r="DL83" i="3" s="1"/>
  <c r="DL82" i="3" s="1"/>
  <c r="DL81" i="3" s="1"/>
  <c r="DL80" i="3" s="1"/>
  <c r="DL79" i="3" s="1"/>
  <c r="DL78" i="3" s="1"/>
  <c r="DL77" i="3" s="1"/>
  <c r="DL76" i="3" s="1"/>
  <c r="DL75" i="3" s="1"/>
  <c r="O74" i="3" s="1"/>
  <c r="O75" i="3" s="1"/>
  <c r="O76" i="3" s="1"/>
  <c r="O77" i="3" s="1"/>
  <c r="O78" i="3" s="1"/>
  <c r="O79" i="3" s="1"/>
  <c r="O80" i="3" s="1"/>
  <c r="O81" i="3" s="1"/>
  <c r="O82" i="3" s="1"/>
  <c r="O83" i="3" s="1"/>
  <c r="O84" i="3" s="1"/>
  <c r="O85" i="3" s="1"/>
  <c r="O86" i="3" s="1"/>
  <c r="O87" i="3" s="1"/>
  <c r="O88" i="3" s="1"/>
  <c r="O89" i="3" s="1"/>
  <c r="O90" i="3" s="1"/>
  <c r="O91" i="3" s="1"/>
  <c r="O92" i="3" s="1"/>
  <c r="O93" i="3" s="1"/>
  <c r="O94" i="3" s="1"/>
  <c r="O95" i="3" s="1"/>
  <c r="O96" i="3" s="1"/>
  <c r="O97" i="3" s="1"/>
  <c r="O98" i="3" s="1"/>
  <c r="O99" i="3" s="1"/>
  <c r="O100" i="3" s="1"/>
  <c r="O101" i="3" s="1"/>
  <c r="O102" i="3" s="1"/>
  <c r="O103" i="3" s="1"/>
  <c r="O104" i="3" s="1"/>
  <c r="DM74" i="3"/>
  <c r="AT101" i="3"/>
  <c r="L66" i="3"/>
  <c r="AT99" i="3"/>
  <c r="L64" i="3"/>
  <c r="AT84" i="3"/>
  <c r="L49" i="3"/>
  <c r="AU93" i="3"/>
  <c r="M58" i="3"/>
  <c r="AT98" i="3"/>
  <c r="L63" i="3"/>
  <c r="AT100" i="3"/>
  <c r="L65" i="3"/>
  <c r="L40" i="3"/>
  <c r="AT75" i="3"/>
  <c r="AT76" i="3"/>
  <c r="L41" i="3"/>
  <c r="AT89" i="3"/>
  <c r="L54" i="3"/>
  <c r="AT103" i="3"/>
  <c r="DJ103" i="3" s="1"/>
  <c r="DJ102" i="3" s="1"/>
  <c r="L68" i="3"/>
  <c r="AT77" i="3"/>
  <c r="L42" i="3"/>
  <c r="AT82" i="3"/>
  <c r="L47" i="3"/>
  <c r="AT80" i="3"/>
  <c r="L45" i="3"/>
  <c r="AT95" i="3"/>
  <c r="L60" i="3"/>
  <c r="AR96" i="3"/>
  <c r="J61" i="3"/>
  <c r="AR88" i="3"/>
  <c r="J53" i="3"/>
  <c r="AR79" i="3"/>
  <c r="J44" i="3"/>
  <c r="AR91" i="3"/>
  <c r="J56" i="3"/>
  <c r="AR97" i="3"/>
  <c r="J62" i="3"/>
  <c r="I59" i="3"/>
  <c r="AP94" i="3" s="1"/>
  <c r="I50" i="3"/>
  <c r="AP85" i="3" s="1"/>
  <c r="I69" i="3"/>
  <c r="AP104" i="3" s="1"/>
  <c r="L43" i="3"/>
  <c r="AS78" i="3" s="1"/>
  <c r="H55" i="3"/>
  <c r="AO90" i="3" s="1"/>
  <c r="K51" i="3"/>
  <c r="AR86" i="3" s="1"/>
  <c r="I67" i="3"/>
  <c r="AP102" i="3" s="1"/>
  <c r="I52" i="3"/>
  <c r="AP87" i="3" s="1"/>
  <c r="K57" i="3"/>
  <c r="AR92" i="3" s="1"/>
  <c r="I39" i="3"/>
  <c r="AP74" i="3" s="1"/>
  <c r="AA18" i="1"/>
  <c r="DJ101" i="3" l="1"/>
  <c r="DJ100" i="3" s="1"/>
  <c r="DJ99" i="3" s="1"/>
  <c r="DJ98" i="3" s="1"/>
  <c r="DJ97" i="3" s="1"/>
  <c r="DJ96" i="3" s="1"/>
  <c r="DJ95" i="3" s="1"/>
  <c r="DJ94" i="3" s="1"/>
  <c r="AS81" i="3"/>
  <c r="K46" i="3"/>
  <c r="DL74" i="3"/>
  <c r="AS83" i="3"/>
  <c r="K48" i="3"/>
  <c r="DK93" i="3"/>
  <c r="DK92" i="3" s="1"/>
  <c r="DK91" i="3" s="1"/>
  <c r="DK90" i="3" s="1"/>
  <c r="DK89" i="3" s="1"/>
  <c r="DK88" i="3" s="1"/>
  <c r="DK87" i="3" s="1"/>
  <c r="DK86" i="3" s="1"/>
  <c r="DK85" i="3" s="1"/>
  <c r="DK84" i="3" s="1"/>
  <c r="DK83" i="3" s="1"/>
  <c r="DK82" i="3" s="1"/>
  <c r="DK81" i="3" s="1"/>
  <c r="DK80" i="3" s="1"/>
  <c r="DK79" i="3" s="1"/>
  <c r="DK78" i="3" s="1"/>
  <c r="DK77" i="3" s="1"/>
  <c r="DK76" i="3" s="1"/>
  <c r="DK75" i="3" s="1"/>
  <c r="N74" i="3" s="1"/>
  <c r="N75" i="3" s="1"/>
  <c r="N76" i="3" s="1"/>
  <c r="N77" i="3" s="1"/>
  <c r="N78" i="3" s="1"/>
  <c r="N79" i="3" s="1"/>
  <c r="N80" i="3" s="1"/>
  <c r="N81" i="3" s="1"/>
  <c r="N82" i="3" s="1"/>
  <c r="N83" i="3" s="1"/>
  <c r="N84" i="3" s="1"/>
  <c r="N85" i="3" s="1"/>
  <c r="N86" i="3" s="1"/>
  <c r="N87" i="3" s="1"/>
  <c r="N88" i="3" s="1"/>
  <c r="N89" i="3" s="1"/>
  <c r="N90" i="3" s="1"/>
  <c r="N91" i="3" s="1"/>
  <c r="N92" i="3" s="1"/>
  <c r="N93" i="3" s="1"/>
  <c r="N94" i="3" s="1"/>
  <c r="N95" i="3" s="1"/>
  <c r="N96" i="3" s="1"/>
  <c r="N97" i="3" s="1"/>
  <c r="N98" i="3" s="1"/>
  <c r="N99" i="3" s="1"/>
  <c r="N100" i="3" s="1"/>
  <c r="N101" i="3" s="1"/>
  <c r="N102" i="3" s="1"/>
  <c r="N103" i="3" s="1"/>
  <c r="N104" i="3" s="1"/>
  <c r="AS101" i="3"/>
  <c r="K66" i="3"/>
  <c r="AS80" i="3"/>
  <c r="K45" i="3"/>
  <c r="AS82" i="3"/>
  <c r="K47" i="3"/>
  <c r="AS76" i="3"/>
  <c r="K41" i="3"/>
  <c r="AT93" i="3"/>
  <c r="L58" i="3"/>
  <c r="AS98" i="3"/>
  <c r="K63" i="3"/>
  <c r="AS95" i="3"/>
  <c r="K60" i="3"/>
  <c r="AS77" i="3"/>
  <c r="K42" i="3"/>
  <c r="AS84" i="3"/>
  <c r="K49" i="3"/>
  <c r="AS89" i="3"/>
  <c r="K54" i="3"/>
  <c r="AS75" i="3"/>
  <c r="K40" i="3"/>
  <c r="AS103" i="3"/>
  <c r="DI103" i="3" s="1"/>
  <c r="DI102" i="3" s="1"/>
  <c r="K68" i="3"/>
  <c r="AS100" i="3"/>
  <c r="K65" i="3"/>
  <c r="AS99" i="3"/>
  <c r="K64" i="3"/>
  <c r="AQ96" i="3"/>
  <c r="I61" i="3"/>
  <c r="AQ88" i="3"/>
  <c r="I53" i="3"/>
  <c r="AQ91" i="3"/>
  <c r="I56" i="3"/>
  <c r="AQ79" i="3"/>
  <c r="I44" i="3"/>
  <c r="AQ97" i="3"/>
  <c r="I62" i="3"/>
  <c r="H39" i="3"/>
  <c r="AO74" i="3" s="1"/>
  <c r="J57" i="3"/>
  <c r="AQ92" i="3" s="1"/>
  <c r="H69" i="3"/>
  <c r="AO104" i="3" s="1"/>
  <c r="J51" i="3"/>
  <c r="AQ86" i="3" s="1"/>
  <c r="H52" i="3"/>
  <c r="AO87" i="3" s="1"/>
  <c r="H67" i="3"/>
  <c r="AO102" i="3" s="1"/>
  <c r="K43" i="3"/>
  <c r="AR78" i="3" s="1"/>
  <c r="H50" i="3"/>
  <c r="AO85" i="3" s="1"/>
  <c r="H59" i="3"/>
  <c r="AO94" i="3" s="1"/>
  <c r="AB18" i="1"/>
  <c r="AR81" i="3" l="1"/>
  <c r="J46" i="3"/>
  <c r="DI101" i="3"/>
  <c r="DI100" i="3" s="1"/>
  <c r="DI99" i="3" s="1"/>
  <c r="DI98" i="3" s="1"/>
  <c r="DI97" i="3" s="1"/>
  <c r="DI96" i="3" s="1"/>
  <c r="DI95" i="3" s="1"/>
  <c r="DI94" i="3" s="1"/>
  <c r="AR83" i="3"/>
  <c r="J48" i="3"/>
  <c r="DJ93" i="3"/>
  <c r="DJ92" i="3" s="1"/>
  <c r="DJ91" i="3" s="1"/>
  <c r="DJ90" i="3" s="1"/>
  <c r="DJ89" i="3" s="1"/>
  <c r="DJ88" i="3" s="1"/>
  <c r="DJ87" i="3" s="1"/>
  <c r="DJ86" i="3" s="1"/>
  <c r="DJ85" i="3" s="1"/>
  <c r="DJ84" i="3" s="1"/>
  <c r="DJ83" i="3" s="1"/>
  <c r="DJ82" i="3" s="1"/>
  <c r="DJ81" i="3" s="1"/>
  <c r="DJ80" i="3" s="1"/>
  <c r="DJ79" i="3" s="1"/>
  <c r="DJ78" i="3" s="1"/>
  <c r="DJ77" i="3" s="1"/>
  <c r="DJ76" i="3" s="1"/>
  <c r="DJ75" i="3" s="1"/>
  <c r="DJ74" i="3" s="1"/>
  <c r="DK74" i="3"/>
  <c r="AR101" i="3"/>
  <c r="J66" i="3"/>
  <c r="AR103" i="3"/>
  <c r="DH103" i="3" s="1"/>
  <c r="DH102" i="3" s="1"/>
  <c r="J68" i="3"/>
  <c r="AS93" i="3"/>
  <c r="K58" i="3"/>
  <c r="AR77" i="3"/>
  <c r="J42" i="3"/>
  <c r="AR76" i="3"/>
  <c r="J41" i="3"/>
  <c r="AR75" i="3"/>
  <c r="J40" i="3"/>
  <c r="AR95" i="3"/>
  <c r="J60" i="3"/>
  <c r="AR82" i="3"/>
  <c r="J47" i="3"/>
  <c r="AR99" i="3"/>
  <c r="J64" i="3"/>
  <c r="AR89" i="3"/>
  <c r="J54" i="3"/>
  <c r="AR98" i="3"/>
  <c r="J63" i="3"/>
  <c r="AR80" i="3"/>
  <c r="J45" i="3"/>
  <c r="AR84" i="3"/>
  <c r="J49" i="3"/>
  <c r="AR100" i="3"/>
  <c r="J65" i="3"/>
  <c r="AP96" i="3"/>
  <c r="H61" i="3"/>
  <c r="AO96" i="3" s="1"/>
  <c r="AP88" i="3"/>
  <c r="H53" i="3"/>
  <c r="AO88" i="3" s="1"/>
  <c r="AP79" i="3"/>
  <c r="H44" i="3"/>
  <c r="AO79" i="3" s="1"/>
  <c r="AP97" i="3"/>
  <c r="H62" i="3"/>
  <c r="AO97" i="3" s="1"/>
  <c r="AP91" i="3"/>
  <c r="H56" i="3"/>
  <c r="AO91" i="3" s="1"/>
  <c r="I57" i="3"/>
  <c r="AP92" i="3" s="1"/>
  <c r="J43" i="3"/>
  <c r="AQ78" i="3" s="1"/>
  <c r="I51" i="3"/>
  <c r="AP86" i="3" s="1"/>
  <c r="AC18" i="1"/>
  <c r="DI93" i="3" l="1"/>
  <c r="DI92" i="3" s="1"/>
  <c r="DI91" i="3" s="1"/>
  <c r="DI90" i="3" s="1"/>
  <c r="DI89" i="3" s="1"/>
  <c r="DI88" i="3" s="1"/>
  <c r="DI87" i="3" s="1"/>
  <c r="DI86" i="3" s="1"/>
  <c r="DI85" i="3" s="1"/>
  <c r="DI84" i="3" s="1"/>
  <c r="DI83" i="3" s="1"/>
  <c r="DI82" i="3" s="1"/>
  <c r="DI81" i="3" s="1"/>
  <c r="DI80" i="3" s="1"/>
  <c r="DI79" i="3" s="1"/>
  <c r="DI78" i="3" s="1"/>
  <c r="DI77" i="3" s="1"/>
  <c r="DI76" i="3" s="1"/>
  <c r="DI75" i="3" s="1"/>
  <c r="DI74" i="3" s="1"/>
  <c r="DH101" i="3"/>
  <c r="DH100" i="3" s="1"/>
  <c r="DH99" i="3" s="1"/>
  <c r="DH98" i="3" s="1"/>
  <c r="DH97" i="3" s="1"/>
  <c r="DH96" i="3" s="1"/>
  <c r="DH95" i="3" s="1"/>
  <c r="DH94" i="3" s="1"/>
  <c r="AQ81" i="3"/>
  <c r="I46" i="3"/>
  <c r="AQ83" i="3"/>
  <c r="I48" i="3"/>
  <c r="M74" i="3"/>
  <c r="M75" i="3" s="1"/>
  <c r="M76" i="3" s="1"/>
  <c r="M77" i="3" s="1"/>
  <c r="M78" i="3" s="1"/>
  <c r="M79" i="3" s="1"/>
  <c r="M80" i="3" s="1"/>
  <c r="M81" i="3" s="1"/>
  <c r="M82" i="3" s="1"/>
  <c r="M83" i="3" s="1"/>
  <c r="M84" i="3" s="1"/>
  <c r="M85" i="3" s="1"/>
  <c r="M86" i="3" s="1"/>
  <c r="M87" i="3" s="1"/>
  <c r="M88" i="3" s="1"/>
  <c r="M89" i="3" s="1"/>
  <c r="M90" i="3" s="1"/>
  <c r="M91" i="3" s="1"/>
  <c r="M92" i="3" s="1"/>
  <c r="M93" i="3" s="1"/>
  <c r="M94" i="3" s="1"/>
  <c r="M95" i="3" s="1"/>
  <c r="M96" i="3" s="1"/>
  <c r="M97" i="3" s="1"/>
  <c r="M98" i="3" s="1"/>
  <c r="M99" i="3" s="1"/>
  <c r="M100" i="3" s="1"/>
  <c r="M101" i="3" s="1"/>
  <c r="M102" i="3" s="1"/>
  <c r="M103" i="3" s="1"/>
  <c r="M104" i="3" s="1"/>
  <c r="AQ101" i="3"/>
  <c r="I66" i="3"/>
  <c r="AQ80" i="3"/>
  <c r="I45" i="3"/>
  <c r="I47" i="3"/>
  <c r="AQ82" i="3"/>
  <c r="AQ77" i="3"/>
  <c r="I42" i="3"/>
  <c r="AQ98" i="3"/>
  <c r="I63" i="3"/>
  <c r="AQ95" i="3"/>
  <c r="I60" i="3"/>
  <c r="AQ100" i="3"/>
  <c r="I65" i="3"/>
  <c r="AQ89" i="3"/>
  <c r="I54" i="3"/>
  <c r="AR93" i="3"/>
  <c r="J58" i="3"/>
  <c r="I40" i="3"/>
  <c r="AQ75" i="3"/>
  <c r="AQ103" i="3"/>
  <c r="DG103" i="3" s="1"/>
  <c r="DG102" i="3" s="1"/>
  <c r="I68" i="3"/>
  <c r="AQ84" i="3"/>
  <c r="I49" i="3"/>
  <c r="AQ99" i="3"/>
  <c r="I64" i="3"/>
  <c r="AQ76" i="3"/>
  <c r="I41" i="3"/>
  <c r="H51" i="3"/>
  <c r="AO86" i="3" s="1"/>
  <c r="H57" i="3"/>
  <c r="AO92" i="3" s="1"/>
  <c r="I43" i="3"/>
  <c r="AP78" i="3" s="1"/>
  <c r="AD18" i="1"/>
  <c r="L74" i="3" l="1"/>
  <c r="L75" i="3" s="1"/>
  <c r="L76" i="3" s="1"/>
  <c r="L77" i="3" s="1"/>
  <c r="L78" i="3" s="1"/>
  <c r="L79" i="3" s="1"/>
  <c r="L80" i="3" s="1"/>
  <c r="L81" i="3" s="1"/>
  <c r="L82" i="3" s="1"/>
  <c r="L83" i="3" s="1"/>
  <c r="L84" i="3" s="1"/>
  <c r="L85" i="3" s="1"/>
  <c r="L86" i="3" s="1"/>
  <c r="L87" i="3" s="1"/>
  <c r="L88" i="3" s="1"/>
  <c r="L89" i="3" s="1"/>
  <c r="L90" i="3" s="1"/>
  <c r="L91" i="3" s="1"/>
  <c r="L92" i="3" s="1"/>
  <c r="L93" i="3" s="1"/>
  <c r="L94" i="3" s="1"/>
  <c r="L95" i="3" s="1"/>
  <c r="L96" i="3" s="1"/>
  <c r="L97" i="3" s="1"/>
  <c r="L98" i="3" s="1"/>
  <c r="L99" i="3" s="1"/>
  <c r="L100" i="3" s="1"/>
  <c r="L101" i="3" s="1"/>
  <c r="L102" i="3" s="1"/>
  <c r="L103" i="3" s="1"/>
  <c r="L104" i="3" s="1"/>
  <c r="AP81" i="3"/>
  <c r="H46" i="3"/>
  <c r="AO81" i="3" s="1"/>
  <c r="DH93" i="3"/>
  <c r="DH92" i="3" s="1"/>
  <c r="DH91" i="3" s="1"/>
  <c r="DH90" i="3" s="1"/>
  <c r="DH89" i="3" s="1"/>
  <c r="DH88" i="3" s="1"/>
  <c r="DH87" i="3" s="1"/>
  <c r="DH86" i="3" s="1"/>
  <c r="DH85" i="3" s="1"/>
  <c r="DH84" i="3" s="1"/>
  <c r="DH83" i="3" s="1"/>
  <c r="DH82" i="3" s="1"/>
  <c r="DH81" i="3" s="1"/>
  <c r="DH80" i="3" s="1"/>
  <c r="DH79" i="3" s="1"/>
  <c r="DH78" i="3" s="1"/>
  <c r="DH77" i="3" s="1"/>
  <c r="DH76" i="3" s="1"/>
  <c r="DH75" i="3" s="1"/>
  <c r="K74" i="3" s="1"/>
  <c r="K75" i="3" s="1"/>
  <c r="K76" i="3" s="1"/>
  <c r="K77" i="3" s="1"/>
  <c r="K78" i="3" s="1"/>
  <c r="K79" i="3" s="1"/>
  <c r="K80" i="3" s="1"/>
  <c r="K81" i="3" s="1"/>
  <c r="K82" i="3" s="1"/>
  <c r="K83" i="3" s="1"/>
  <c r="K84" i="3" s="1"/>
  <c r="K85" i="3" s="1"/>
  <c r="K86" i="3" s="1"/>
  <c r="K87" i="3" s="1"/>
  <c r="K88" i="3" s="1"/>
  <c r="K89" i="3" s="1"/>
  <c r="K90" i="3" s="1"/>
  <c r="K91" i="3" s="1"/>
  <c r="K92" i="3" s="1"/>
  <c r="K93" i="3" s="1"/>
  <c r="K94" i="3" s="1"/>
  <c r="K95" i="3" s="1"/>
  <c r="K96" i="3" s="1"/>
  <c r="K97" i="3" s="1"/>
  <c r="K98" i="3" s="1"/>
  <c r="K99" i="3" s="1"/>
  <c r="K100" i="3" s="1"/>
  <c r="K101" i="3" s="1"/>
  <c r="K102" i="3" s="1"/>
  <c r="K103" i="3" s="1"/>
  <c r="K104" i="3" s="1"/>
  <c r="AP83" i="3"/>
  <c r="H48" i="3"/>
  <c r="AO83" i="3" s="1"/>
  <c r="DG101" i="3"/>
  <c r="DG100" i="3" s="1"/>
  <c r="DG99" i="3" s="1"/>
  <c r="DG98" i="3" s="1"/>
  <c r="DG97" i="3" s="1"/>
  <c r="DG96" i="3" s="1"/>
  <c r="DG95" i="3" s="1"/>
  <c r="DG94" i="3" s="1"/>
  <c r="AP101" i="3"/>
  <c r="H66" i="3"/>
  <c r="AO101" i="3" s="1"/>
  <c r="AQ93" i="3"/>
  <c r="I58" i="3"/>
  <c r="AP84" i="3"/>
  <c r="H49" i="3"/>
  <c r="AO84" i="3" s="1"/>
  <c r="AP89" i="3"/>
  <c r="H54" i="3"/>
  <c r="AO89" i="3" s="1"/>
  <c r="AP77" i="3"/>
  <c r="H42" i="3"/>
  <c r="AO77" i="3" s="1"/>
  <c r="AP98" i="3"/>
  <c r="H63" i="3"/>
  <c r="AO98" i="3" s="1"/>
  <c r="AP103" i="3"/>
  <c r="DF103" i="3" s="1"/>
  <c r="DF102" i="3" s="1"/>
  <c r="H68" i="3"/>
  <c r="AO103" i="3" s="1"/>
  <c r="DE103" i="3" s="1"/>
  <c r="DE102" i="3" s="1"/>
  <c r="AP100" i="3"/>
  <c r="H65" i="3"/>
  <c r="AO100" i="3" s="1"/>
  <c r="AP82" i="3"/>
  <c r="H47" i="3"/>
  <c r="AO82" i="3" s="1"/>
  <c r="AP99" i="3"/>
  <c r="H64" i="3"/>
  <c r="AO99" i="3" s="1"/>
  <c r="AP76" i="3"/>
  <c r="H41" i="3"/>
  <c r="AO76" i="3" s="1"/>
  <c r="AP95" i="3"/>
  <c r="H60" i="3"/>
  <c r="AO95" i="3" s="1"/>
  <c r="AP80" i="3"/>
  <c r="H45" i="3"/>
  <c r="AO80" i="3" s="1"/>
  <c r="AP75" i="3"/>
  <c r="H40" i="3"/>
  <c r="AO75" i="3" s="1"/>
  <c r="H43" i="3"/>
  <c r="AO78" i="3" s="1"/>
  <c r="AE18" i="1"/>
  <c r="DG93" i="3" l="1"/>
  <c r="DG92" i="3" s="1"/>
  <c r="DG91" i="3" s="1"/>
  <c r="DG90" i="3" s="1"/>
  <c r="DG89" i="3" s="1"/>
  <c r="DG88" i="3" s="1"/>
  <c r="DG87" i="3" s="1"/>
  <c r="DG86" i="3" s="1"/>
  <c r="DG85" i="3" s="1"/>
  <c r="DG84" i="3" s="1"/>
  <c r="DG83" i="3" s="1"/>
  <c r="DG82" i="3" s="1"/>
  <c r="DG81" i="3" s="1"/>
  <c r="DG80" i="3" s="1"/>
  <c r="DG79" i="3" s="1"/>
  <c r="DG78" i="3" s="1"/>
  <c r="DG77" i="3" s="1"/>
  <c r="DG76" i="3" s="1"/>
  <c r="DG75" i="3" s="1"/>
  <c r="DG74" i="3" s="1"/>
  <c r="DF101" i="3"/>
  <c r="DF100" i="3" s="1"/>
  <c r="DF99" i="3" s="1"/>
  <c r="DF98" i="3" s="1"/>
  <c r="DF97" i="3" s="1"/>
  <c r="DF96" i="3" s="1"/>
  <c r="DF95" i="3" s="1"/>
  <c r="DF94" i="3" s="1"/>
  <c r="DH74" i="3"/>
  <c r="DE101" i="3"/>
  <c r="DE100" i="3" s="1"/>
  <c r="DE99" i="3" s="1"/>
  <c r="DE98" i="3" s="1"/>
  <c r="DE97" i="3" s="1"/>
  <c r="DE96" i="3" s="1"/>
  <c r="DE95" i="3" s="1"/>
  <c r="DE94" i="3" s="1"/>
  <c r="AP93" i="3"/>
  <c r="H58" i="3"/>
  <c r="AO93" i="3" s="1"/>
  <c r="AF18" i="1"/>
  <c r="J74" i="3" l="1"/>
  <c r="J75" i="3" s="1"/>
  <c r="J76" i="3" s="1"/>
  <c r="J77" i="3" s="1"/>
  <c r="J78" i="3" s="1"/>
  <c r="J79" i="3" s="1"/>
  <c r="J80" i="3" s="1"/>
  <c r="J81" i="3" s="1"/>
  <c r="J82" i="3" s="1"/>
  <c r="J83" i="3" s="1"/>
  <c r="J84" i="3" s="1"/>
  <c r="J85" i="3" s="1"/>
  <c r="J86" i="3" s="1"/>
  <c r="J87" i="3" s="1"/>
  <c r="J88" i="3" s="1"/>
  <c r="J89" i="3" s="1"/>
  <c r="J90" i="3" s="1"/>
  <c r="J91" i="3" s="1"/>
  <c r="J92" i="3" s="1"/>
  <c r="J93" i="3" s="1"/>
  <c r="J94" i="3" s="1"/>
  <c r="J95" i="3" s="1"/>
  <c r="J96" i="3" s="1"/>
  <c r="J97" i="3" s="1"/>
  <c r="J98" i="3" s="1"/>
  <c r="J99" i="3" s="1"/>
  <c r="J100" i="3" s="1"/>
  <c r="J101" i="3" s="1"/>
  <c r="J102" i="3" s="1"/>
  <c r="J103" i="3" s="1"/>
  <c r="J104" i="3" s="1"/>
  <c r="DE93" i="3"/>
  <c r="DE92" i="3" s="1"/>
  <c r="DE91" i="3" s="1"/>
  <c r="DE90" i="3" s="1"/>
  <c r="DE89" i="3" s="1"/>
  <c r="DE88" i="3" s="1"/>
  <c r="DE87" i="3" s="1"/>
  <c r="DE86" i="3" s="1"/>
  <c r="DE85" i="3" s="1"/>
  <c r="DE84" i="3" s="1"/>
  <c r="DE83" i="3" s="1"/>
  <c r="DE82" i="3" s="1"/>
  <c r="DE81" i="3" s="1"/>
  <c r="DE80" i="3" s="1"/>
  <c r="DE79" i="3" s="1"/>
  <c r="DE78" i="3" s="1"/>
  <c r="DE77" i="3" s="1"/>
  <c r="DE76" i="3" s="1"/>
  <c r="DE75" i="3" s="1"/>
  <c r="H74" i="3" s="1"/>
  <c r="H75" i="3" s="1"/>
  <c r="H76" i="3" s="1"/>
  <c r="H77" i="3" s="1"/>
  <c r="H78" i="3" s="1"/>
  <c r="H79" i="3" s="1"/>
  <c r="H80" i="3" s="1"/>
  <c r="H81" i="3" s="1"/>
  <c r="H82" i="3" s="1"/>
  <c r="H83" i="3" s="1"/>
  <c r="H84" i="3" s="1"/>
  <c r="H85" i="3" s="1"/>
  <c r="H86" i="3" s="1"/>
  <c r="H87" i="3" s="1"/>
  <c r="H88" i="3" s="1"/>
  <c r="H89" i="3" s="1"/>
  <c r="H90" i="3" s="1"/>
  <c r="H91" i="3" s="1"/>
  <c r="H92" i="3" s="1"/>
  <c r="H93" i="3" s="1"/>
  <c r="H94" i="3" s="1"/>
  <c r="H95" i="3" s="1"/>
  <c r="H96" i="3" s="1"/>
  <c r="H97" i="3" s="1"/>
  <c r="H98" i="3" s="1"/>
  <c r="H99" i="3" s="1"/>
  <c r="H100" i="3" s="1"/>
  <c r="H101" i="3" s="1"/>
  <c r="H102" i="3" s="1"/>
  <c r="H103" i="3" s="1"/>
  <c r="H104" i="3" s="1"/>
  <c r="DF93" i="3"/>
  <c r="DF92" i="3" s="1"/>
  <c r="DF91" i="3" s="1"/>
  <c r="DF90" i="3" s="1"/>
  <c r="DF89" i="3" s="1"/>
  <c r="DF88" i="3" s="1"/>
  <c r="DF87" i="3" s="1"/>
  <c r="DF86" i="3" s="1"/>
  <c r="DF85" i="3" s="1"/>
  <c r="DF84" i="3" s="1"/>
  <c r="DF83" i="3" s="1"/>
  <c r="DF82" i="3" s="1"/>
  <c r="DF81" i="3" s="1"/>
  <c r="DF80" i="3" s="1"/>
  <c r="DF79" i="3" s="1"/>
  <c r="DF78" i="3" s="1"/>
  <c r="DF77" i="3" s="1"/>
  <c r="DF76" i="3" s="1"/>
  <c r="DF75" i="3" s="1"/>
  <c r="I74" i="3" s="1"/>
  <c r="I75" i="3" s="1"/>
  <c r="I76" i="3" s="1"/>
  <c r="I77" i="3" s="1"/>
  <c r="I78" i="3" s="1"/>
  <c r="I79" i="3" s="1"/>
  <c r="I80" i="3" s="1"/>
  <c r="I81" i="3" s="1"/>
  <c r="I82" i="3" s="1"/>
  <c r="I83" i="3" s="1"/>
  <c r="I84" i="3" s="1"/>
  <c r="I85" i="3" s="1"/>
  <c r="I86" i="3" s="1"/>
  <c r="I87" i="3" s="1"/>
  <c r="I88" i="3" s="1"/>
  <c r="I89" i="3" s="1"/>
  <c r="I90" i="3" s="1"/>
  <c r="I91" i="3" s="1"/>
  <c r="I92" i="3" s="1"/>
  <c r="I93" i="3" s="1"/>
  <c r="I94" i="3" s="1"/>
  <c r="I95" i="3" s="1"/>
  <c r="I96" i="3" s="1"/>
  <c r="I97" i="3" s="1"/>
  <c r="I98" i="3" s="1"/>
  <c r="I99" i="3" s="1"/>
  <c r="I100" i="3" s="1"/>
  <c r="I101" i="3" s="1"/>
  <c r="I102" i="3" s="1"/>
  <c r="I103" i="3" s="1"/>
  <c r="I104" i="3" s="1"/>
  <c r="AG18" i="1"/>
  <c r="DE74" i="3" l="1"/>
  <c r="DF74" i="3"/>
  <c r="AH18" i="1"/>
  <c r="AI18" i="1" l="1"/>
  <c r="AI15" i="1" s="1"/>
  <c r="AH15" i="1" l="1"/>
  <c r="AG15" i="1" s="1"/>
  <c r="AF15" i="1" s="1"/>
  <c r="AE15" i="1" s="1"/>
  <c r="AD15" i="1" s="1"/>
  <c r="AC15" i="1" s="1"/>
  <c r="AB15" i="1" s="1"/>
  <c r="AA15" i="1" s="1"/>
  <c r="Z15" i="1" s="1"/>
  <c r="Y15" i="1" s="1"/>
  <c r="X15" i="1" s="1"/>
  <c r="W15" i="1" s="1"/>
  <c r="V15" i="1" s="1"/>
  <c r="U15" i="1" s="1"/>
  <c r="T15" i="1" s="1"/>
  <c r="S15" i="1" s="1"/>
  <c r="R15" i="1" s="1"/>
  <c r="Q15" i="1" s="1"/>
  <c r="P15" i="1" s="1"/>
  <c r="O15" i="1" s="1"/>
  <c r="N15" i="1" s="1"/>
  <c r="M15" i="1" s="1"/>
  <c r="L15" i="1" s="1"/>
  <c r="K15" i="1" s="1"/>
  <c r="J15" i="1" s="1"/>
  <c r="I15" i="1" s="1"/>
  <c r="H15" i="1" s="1"/>
  <c r="G15" i="1" s="1"/>
  <c r="AJ18" i="1"/>
</calcChain>
</file>

<file path=xl/sharedStrings.xml><?xml version="1.0" encoding="utf-8"?>
<sst xmlns="http://schemas.openxmlformats.org/spreadsheetml/2006/main" count="77" uniqueCount="44">
  <si>
    <t>L</t>
  </si>
  <si>
    <t>dx</t>
  </si>
  <si>
    <t>dt</t>
  </si>
  <si>
    <t>t</t>
  </si>
  <si>
    <t>Cp</t>
  </si>
  <si>
    <t>ro</t>
  </si>
  <si>
    <t>lamda</t>
  </si>
  <si>
    <t>T</t>
  </si>
  <si>
    <t>tstart</t>
  </si>
  <si>
    <t>tend</t>
  </si>
  <si>
    <t>Ti</t>
  </si>
  <si>
    <t>q_start</t>
  </si>
  <si>
    <t>T_iter</t>
  </si>
  <si>
    <t>q</t>
  </si>
  <si>
    <t>T_gas</t>
  </si>
  <si>
    <t>alpha</t>
  </si>
  <si>
    <t xml:space="preserve"> </t>
  </si>
  <si>
    <t>A</t>
  </si>
  <si>
    <t>B</t>
  </si>
  <si>
    <t>C</t>
  </si>
  <si>
    <t>F</t>
  </si>
  <si>
    <t>Alpha</t>
  </si>
  <si>
    <t>Betta</t>
  </si>
  <si>
    <t>Параметры расчетной области</t>
  </si>
  <si>
    <t>H</t>
  </si>
  <si>
    <t>dy</t>
  </si>
  <si>
    <t>Физические параметры</t>
  </si>
  <si>
    <t>Гр. Усл</t>
  </si>
  <si>
    <t>Х</t>
  </si>
  <si>
    <t>У</t>
  </si>
  <si>
    <t>Прошло:</t>
  </si>
  <si>
    <t>lambda</t>
  </si>
  <si>
    <t>T_start</t>
  </si>
  <si>
    <t>T_end</t>
  </si>
  <si>
    <t>Точка</t>
  </si>
  <si>
    <t>Координата</t>
  </si>
  <si>
    <t>n+0.5</t>
  </si>
  <si>
    <t>Fi</t>
  </si>
  <si>
    <r>
      <rPr>
        <sz val="18"/>
        <color theme="1"/>
        <rFont val="Calibri"/>
        <family val="2"/>
        <charset val="204"/>
      </rPr>
      <t>β</t>
    </r>
    <r>
      <rPr>
        <sz val="18"/>
        <color theme="1"/>
        <rFont val="Calibri"/>
        <family val="2"/>
        <charset val="204"/>
        <scheme val="minor"/>
      </rPr>
      <t>i</t>
    </r>
  </si>
  <si>
    <r>
      <rPr>
        <sz val="18"/>
        <color theme="1"/>
        <rFont val="Calibri"/>
        <family val="2"/>
        <charset val="204"/>
      </rPr>
      <t>α</t>
    </r>
    <r>
      <rPr>
        <sz val="18"/>
        <color theme="1"/>
        <rFont val="Calibri"/>
        <family val="2"/>
        <charset val="204"/>
        <scheme val="minor"/>
      </rPr>
      <t>i</t>
    </r>
  </si>
  <si>
    <t>n+1</t>
  </si>
  <si>
    <t>Fj</t>
  </si>
  <si>
    <t>αj</t>
  </si>
  <si>
    <t>βj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</si>
</sst>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000"/>
    <numFmt numFmtId="165" formatCode="0.000_ ;\-0.000\ "/>
    <numFmt numFmtId="166" formatCode="0_ ;\-0\ "/>
    <numFmt numFmtId="167" formatCode="0.E+00"/>
    <numFmt numFmtId="168" formatCode="0.0"/>
  </numFmts>
  <fonts count="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</font>
    <font>
      <sz val="11"/>
      <color rgb="FF000000"/>
      <name val="Calibri"/>
      <family val="2"/>
      <charset val="204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5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7">
    <xf numFmtId="0" fontId="0" fillId="0" borderId="0"/>
    <xf numFmtId="0" fontId="2" fillId="8" borderId="2" applyNumberFormat="0" applyAlignment="0" applyProtection="0"/>
    <xf numFmtId="0" fontId="1" fillId="3" borderId="3" applyNumberFormat="0" applyFont="0" applyAlignment="0" applyProtection="0"/>
    <xf numFmtId="0" fontId="3" fillId="7" borderId="0" applyNumberFormat="0" applyBorder="0" applyAlignment="0" applyProtection="0"/>
    <xf numFmtId="0" fontId="1" fillId="6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</cellStyleXfs>
  <cellXfs count="58">
    <xf numFmtId="0" fontId="0" fillId="0" borderId="0" xfId="0"/>
    <xf numFmtId="164" fontId="0" fillId="0" borderId="0" xfId="0" applyNumberFormat="1"/>
    <xf numFmtId="0" fontId="0" fillId="0" borderId="1" xfId="0" applyBorder="1"/>
    <xf numFmtId="164" fontId="0" fillId="0" borderId="1" xfId="0" applyNumberFormat="1" applyBorder="1"/>
    <xf numFmtId="1" fontId="0" fillId="0" borderId="1" xfId="0" applyNumberFormat="1" applyBorder="1"/>
    <xf numFmtId="165" fontId="0" fillId="0" borderId="1" xfId="0" applyNumberFormat="1" applyBorder="1"/>
    <xf numFmtId="0" fontId="0" fillId="0" borderId="1" xfId="0" applyFill="1" applyBorder="1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Border="1"/>
    <xf numFmtId="0" fontId="0" fillId="2" borderId="0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3" borderId="1" xfId="0" applyFill="1" applyBorder="1"/>
    <xf numFmtId="2" fontId="0" fillId="0" borderId="1" xfId="0" applyNumberFormat="1" applyBorder="1"/>
    <xf numFmtId="2" fontId="0" fillId="3" borderId="1" xfId="0" applyNumberFormat="1" applyFill="1" applyBorder="1"/>
    <xf numFmtId="167" fontId="0" fillId="3" borderId="1" xfId="0" applyNumberFormat="1" applyFill="1" applyBorder="1" applyAlignment="1">
      <alignment horizontal="center" vertical="center"/>
    </xf>
    <xf numFmtId="167" fontId="0" fillId="2" borderId="1" xfId="0" applyNumberFormat="1" applyFill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164" fontId="0" fillId="10" borderId="1" xfId="0" applyNumberFormat="1" applyFill="1" applyBorder="1" applyAlignment="1">
      <alignment horizontal="center" vertical="center"/>
    </xf>
    <xf numFmtId="0" fontId="0" fillId="10" borderId="7" xfId="0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10" borderId="0" xfId="0" applyFill="1"/>
    <xf numFmtId="0" fontId="0" fillId="10" borderId="8" xfId="0" applyFill="1" applyBorder="1"/>
    <xf numFmtId="0" fontId="0" fillId="10" borderId="6" xfId="0" applyFill="1" applyBorder="1"/>
    <xf numFmtId="0" fontId="0" fillId="10" borderId="5" xfId="0" applyFill="1" applyBorder="1"/>
    <xf numFmtId="168" fontId="0" fillId="3" borderId="1" xfId="0" applyNumberFormat="1" applyFill="1" applyBorder="1" applyAlignment="1">
      <alignment horizontal="center" vertical="center"/>
    </xf>
    <xf numFmtId="168" fontId="0" fillId="0" borderId="1" xfId="0" applyNumberFormat="1" applyBorder="1" applyAlignment="1">
      <alignment horizontal="center" vertical="center"/>
    </xf>
    <xf numFmtId="166" fontId="0" fillId="0" borderId="1" xfId="0" applyNumberFormat="1" applyBorder="1"/>
    <xf numFmtId="0" fontId="0" fillId="3" borderId="1" xfId="2" applyFont="1" applyFill="1" applyBorder="1" applyAlignment="1">
      <alignment horizontal="center" vertical="center"/>
    </xf>
    <xf numFmtId="0" fontId="0" fillId="3" borderId="1" xfId="2" applyFont="1" applyBorder="1" applyAlignment="1">
      <alignment horizontal="center"/>
    </xf>
    <xf numFmtId="0" fontId="0" fillId="3" borderId="1" xfId="2" applyFont="1" applyFill="1" applyBorder="1" applyAlignment="1">
      <alignment horizontal="center"/>
    </xf>
    <xf numFmtId="164" fontId="0" fillId="3" borderId="1" xfId="2" applyNumberFormat="1" applyFont="1" applyFill="1" applyBorder="1" applyAlignment="1">
      <alignment horizontal="center"/>
    </xf>
    <xf numFmtId="0" fontId="1" fillId="11" borderId="1" xfId="5" applyFill="1" applyBorder="1" applyAlignment="1">
      <alignment horizontal="center" vertical="center"/>
    </xf>
    <xf numFmtId="0" fontId="1" fillId="12" borderId="1" xfId="6" applyFill="1" applyBorder="1" applyAlignment="1">
      <alignment horizontal="center" vertical="center"/>
    </xf>
    <xf numFmtId="0" fontId="0" fillId="13" borderId="1" xfId="4" applyFont="1" applyFill="1" applyBorder="1" applyAlignment="1">
      <alignment horizontal="center" vertical="center"/>
    </xf>
    <xf numFmtId="0" fontId="1" fillId="13" borderId="1" xfId="4" applyFill="1" applyBorder="1" applyAlignment="1">
      <alignment horizontal="center" vertical="center"/>
    </xf>
    <xf numFmtId="0" fontId="3" fillId="14" borderId="1" xfId="3" applyFill="1" applyBorder="1" applyAlignment="1">
      <alignment horizontal="center" vertical="center"/>
    </xf>
    <xf numFmtId="0" fontId="0" fillId="0" borderId="9" xfId="0" applyFill="1" applyBorder="1"/>
    <xf numFmtId="0" fontId="0" fillId="0" borderId="10" xfId="0" applyBorder="1"/>
    <xf numFmtId="0" fontId="0" fillId="0" borderId="9" xfId="0" applyBorder="1"/>
    <xf numFmtId="0" fontId="0" fillId="0" borderId="10" xfId="0" applyFill="1" applyBorder="1"/>
    <xf numFmtId="0" fontId="0" fillId="3" borderId="1" xfId="2" applyFont="1" applyFill="1" applyBorder="1" applyAlignment="1">
      <alignment horizontal="center" vertical="center" wrapText="1"/>
    </xf>
    <xf numFmtId="0" fontId="3" fillId="14" borderId="1" xfId="3" applyFill="1" applyBorder="1" applyAlignment="1">
      <alignment horizontal="center" vertical="center"/>
    </xf>
    <xf numFmtId="0" fontId="1" fillId="13" borderId="1" xfId="4" applyFill="1" applyBorder="1" applyAlignment="1">
      <alignment horizontal="center" vertical="center"/>
    </xf>
    <xf numFmtId="0" fontId="1" fillId="12" borderId="1" xfId="6" applyFill="1" applyBorder="1" applyAlignment="1">
      <alignment horizontal="center" vertical="center"/>
    </xf>
    <xf numFmtId="0" fontId="1" fillId="11" borderId="1" xfId="5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2" fillId="11" borderId="1" xfId="1" applyFill="1" applyBorder="1"/>
  </cellXfs>
  <cellStyles count="7">
    <cellStyle name="40% — акцент2" xfId="4" builtinId="35" customBuiltin="1"/>
    <cellStyle name="40% — акцент3" xfId="5" builtinId="39" customBuiltin="1"/>
    <cellStyle name="40% — акцент5" xfId="6" builtinId="47" customBuiltin="1"/>
    <cellStyle name="Акцент2" xfId="3" builtinId="33" customBuiltin="1"/>
    <cellStyle name="Вывод" xfId="1" builtinId="21" customBuiltin="1"/>
    <cellStyle name="Обычный" xfId="0" builtinId="0" customBuiltin="1"/>
    <cellStyle name="Примечание" xfId="2" builtinId="1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Второй род в неявном виде</a:t>
            </a:r>
          </a:p>
          <a:p>
            <a:pPr>
              <a:defRPr/>
            </a:pPr>
            <a:endParaRPr lang="ru-RU"/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Неявная_1D!$F$22</c:f>
              <c:strCache>
                <c:ptCount val="1"/>
                <c:pt idx="0">
                  <c:v>247,6442251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Неявная_1D!$F$21:$AJ$21</c:f>
              <c:numCache>
                <c:formatCode>0.000_ ;\-0.000\ 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cat>
          <c:val>
            <c:numRef>
              <c:f>Неявная_1D!$F$22:$AJ$22</c:f>
              <c:numCache>
                <c:formatCode>General</c:formatCode>
                <c:ptCount val="31"/>
                <c:pt idx="0">
                  <c:v>247.64422507446139</c:v>
                </c:pt>
                <c:pt idx="1">
                  <c:v>240.97755840779473</c:v>
                </c:pt>
                <c:pt idx="2">
                  <c:v>235.31029114824543</c:v>
                </c:pt>
                <c:pt idx="3">
                  <c:v>229.7212091003725</c:v>
                </c:pt>
                <c:pt idx="4">
                  <c:v>224.20867174518264</c:v>
                </c:pt>
                <c:pt idx="5">
                  <c:v>218.77092203170392</c:v>
                </c:pt>
                <c:pt idx="6">
                  <c:v>213.40608905190356</c:v>
                </c:pt>
                <c:pt idx="7">
                  <c:v>208.11219088894143</c:v>
                </c:pt>
                <c:pt idx="8">
                  <c:v>202.88713763442394</c:v>
                </c:pt>
                <c:pt idx="9">
                  <c:v>197.72873457006492</c:v>
                </c:pt>
                <c:pt idx="10">
                  <c:v>192.63468550891042</c:v>
                </c:pt>
                <c:pt idx="11">
                  <c:v>187.6025962910411</c:v>
                </c:pt>
                <c:pt idx="12">
                  <c:v>182.62997842843041</c:v>
                </c:pt>
                <c:pt idx="13">
                  <c:v>177.71425289341039</c:v>
                </c:pt>
                <c:pt idx="14">
                  <c:v>172.85275404497793</c:v>
                </c:pt>
                <c:pt idx="15">
                  <c:v>168.0427336869638</c:v>
                </c:pt>
                <c:pt idx="16">
                  <c:v>163.28136525188734</c:v>
                </c:pt>
                <c:pt idx="17">
                  <c:v>158.56574810412664</c:v>
                </c:pt>
                <c:pt idx="18">
                  <c:v>153.89291195585406</c:v>
                </c:pt>
                <c:pt idx="19">
                  <c:v>149.25982138901384</c:v>
                </c:pt>
                <c:pt idx="20">
                  <c:v>144.66338047645772</c:v>
                </c:pt>
                <c:pt idx="21">
                  <c:v>140.10043749520338</c:v>
                </c:pt>
                <c:pt idx="22">
                  <c:v>135.56778972464014</c:v>
                </c:pt>
                <c:pt idx="23">
                  <c:v>131.06218832237701</c:v>
                </c:pt>
                <c:pt idx="24">
                  <c:v>126.58034327030994</c:v>
                </c:pt>
                <c:pt idx="25">
                  <c:v>122.11892838337812</c:v>
                </c:pt>
                <c:pt idx="26">
                  <c:v>117.67458637338373</c:v>
                </c:pt>
                <c:pt idx="27">
                  <c:v>113.24393396016569</c:v>
                </c:pt>
                <c:pt idx="28">
                  <c:v>108.82356702234567</c:v>
                </c:pt>
                <c:pt idx="29">
                  <c:v>104.41006577980471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A3-4C67-97D2-7E0BC1170F4A}"/>
            </c:ext>
          </c:extLst>
        </c:ser>
        <c:ser>
          <c:idx val="1"/>
          <c:order val="1"/>
          <c:tx>
            <c:v>Явная схема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64-414E-A97D-3FFD6D5C0E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6369535"/>
        <c:axId val="536368287"/>
      </c:lineChart>
      <c:catAx>
        <c:axId val="536369535"/>
        <c:scaling>
          <c:orientation val="minMax"/>
        </c:scaling>
        <c:delete val="0"/>
        <c:axPos val="b"/>
        <c:numFmt formatCode="0.000_ ;\-0.00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6368287"/>
        <c:crosses val="autoZero"/>
        <c:auto val="1"/>
        <c:lblAlgn val="ctr"/>
        <c:lblOffset val="100"/>
        <c:noMultiLvlLbl val="0"/>
      </c:catAx>
      <c:valAx>
        <c:axId val="5363682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6369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31</xdr:row>
          <xdr:rowOff>99060</xdr:rowOff>
        </xdr:from>
        <xdr:to>
          <xdr:col>2</xdr:col>
          <xdr:colOff>99060</xdr:colOff>
          <xdr:row>32</xdr:row>
          <xdr:rowOff>144780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Обнуление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29</xdr:row>
          <xdr:rowOff>121920</xdr:rowOff>
        </xdr:from>
        <xdr:to>
          <xdr:col>2</xdr:col>
          <xdr:colOff>76200</xdr:colOff>
          <xdr:row>30</xdr:row>
          <xdr:rowOff>175260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166686</xdr:colOff>
      <xdr:row>39</xdr:row>
      <xdr:rowOff>92869</xdr:rowOff>
    </xdr:from>
    <xdr:to>
      <xdr:col>17</xdr:col>
      <xdr:colOff>761999</xdr:colOff>
      <xdr:row>56</xdr:row>
      <xdr:rowOff>154781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EH162"/>
  <sheetViews>
    <sheetView tabSelected="1" zoomScaleNormal="100" workbookViewId="0">
      <selection activeCell="C14" sqref="C14"/>
    </sheetView>
  </sheetViews>
  <sheetFormatPr defaultRowHeight="14.4" x14ac:dyDescent="0.3"/>
  <cols>
    <col min="1" max="1" width="14.33203125" customWidth="1"/>
    <col min="2" max="2" width="13.6640625" customWidth="1"/>
    <col min="5" max="5" width="11.33203125" customWidth="1"/>
    <col min="6" max="6" width="11.88671875" customWidth="1"/>
    <col min="8" max="37" width="10.5546875" bestFit="1" customWidth="1"/>
    <col min="40" max="40" width="11.6640625" bestFit="1" customWidth="1"/>
    <col min="73" max="73" width="10.44140625" customWidth="1"/>
  </cols>
  <sheetData>
    <row r="1" spans="1:39" ht="16.5" customHeight="1" x14ac:dyDescent="0.3">
      <c r="A1" s="47" t="s">
        <v>23</v>
      </c>
      <c r="B1" s="47"/>
      <c r="E1" s="21" t="s">
        <v>34</v>
      </c>
      <c r="F1" s="21"/>
      <c r="G1" s="11">
        <v>1</v>
      </c>
      <c r="H1" s="21">
        <v>2</v>
      </c>
      <c r="I1" s="21">
        <v>3</v>
      </c>
      <c r="J1" s="21">
        <v>4</v>
      </c>
      <c r="K1" s="21">
        <v>5</v>
      </c>
      <c r="L1" s="21">
        <v>6</v>
      </c>
      <c r="M1" s="21">
        <v>7</v>
      </c>
      <c r="N1" s="21">
        <v>8</v>
      </c>
      <c r="O1" s="21">
        <v>9</v>
      </c>
      <c r="P1" s="21">
        <v>10</v>
      </c>
      <c r="Q1" s="21">
        <v>11</v>
      </c>
      <c r="R1" s="21">
        <v>12</v>
      </c>
      <c r="S1" s="21">
        <v>13</v>
      </c>
      <c r="T1" s="21">
        <v>14</v>
      </c>
      <c r="U1" s="21">
        <v>15</v>
      </c>
      <c r="V1" s="21">
        <v>16</v>
      </c>
      <c r="W1" s="21">
        <v>17</v>
      </c>
      <c r="X1" s="21">
        <v>18</v>
      </c>
      <c r="Y1" s="21">
        <v>19</v>
      </c>
      <c r="Z1" s="21">
        <v>20</v>
      </c>
      <c r="AA1" s="21">
        <v>21</v>
      </c>
      <c r="AB1" s="21">
        <v>22</v>
      </c>
      <c r="AC1" s="21">
        <v>23</v>
      </c>
      <c r="AD1" s="21">
        <v>24</v>
      </c>
      <c r="AE1" s="21">
        <v>25</v>
      </c>
      <c r="AF1" s="21">
        <v>26</v>
      </c>
      <c r="AG1" s="21">
        <v>27</v>
      </c>
      <c r="AH1" s="21">
        <v>28</v>
      </c>
      <c r="AI1" s="21">
        <v>29</v>
      </c>
      <c r="AJ1" s="21">
        <v>30</v>
      </c>
      <c r="AK1" s="21">
        <v>31</v>
      </c>
      <c r="AL1" s="27"/>
      <c r="AM1" s="29"/>
    </row>
    <row r="2" spans="1:39" x14ac:dyDescent="0.3">
      <c r="A2" s="47"/>
      <c r="B2" s="47"/>
      <c r="E2" s="21"/>
      <c r="F2" s="21" t="s">
        <v>35</v>
      </c>
      <c r="G2" s="21">
        <v>0</v>
      </c>
      <c r="H2" s="22">
        <f>$B$5*(H1-1)</f>
        <v>3.3333333333333335E-3</v>
      </c>
      <c r="I2" s="22">
        <f t="shared" ref="I2:AK2" si="0">$B$5*(I1-1)</f>
        <v>6.6666666666666671E-3</v>
      </c>
      <c r="J2" s="22">
        <f t="shared" si="0"/>
        <v>0.01</v>
      </c>
      <c r="K2" s="22">
        <f t="shared" si="0"/>
        <v>1.3333333333333334E-2</v>
      </c>
      <c r="L2" s="22">
        <f t="shared" si="0"/>
        <v>1.6666666666666666E-2</v>
      </c>
      <c r="M2" s="22">
        <f t="shared" si="0"/>
        <v>0.02</v>
      </c>
      <c r="N2" s="22">
        <f t="shared" si="0"/>
        <v>2.3333333333333334E-2</v>
      </c>
      <c r="O2" s="22">
        <f t="shared" si="0"/>
        <v>2.6666666666666668E-2</v>
      </c>
      <c r="P2" s="22">
        <f t="shared" si="0"/>
        <v>3.0000000000000002E-2</v>
      </c>
      <c r="Q2" s="22">
        <f t="shared" si="0"/>
        <v>3.3333333333333333E-2</v>
      </c>
      <c r="R2" s="22">
        <f t="shared" si="0"/>
        <v>3.6666666666666667E-2</v>
      </c>
      <c r="S2" s="22">
        <f t="shared" si="0"/>
        <v>0.04</v>
      </c>
      <c r="T2" s="22">
        <f t="shared" si="0"/>
        <v>4.3333333333333335E-2</v>
      </c>
      <c r="U2" s="22">
        <f t="shared" si="0"/>
        <v>4.6666666666666669E-2</v>
      </c>
      <c r="V2" s="22">
        <f t="shared" si="0"/>
        <v>0.05</v>
      </c>
      <c r="W2" s="22">
        <f t="shared" si="0"/>
        <v>5.3333333333333337E-2</v>
      </c>
      <c r="X2" s="22">
        <f t="shared" si="0"/>
        <v>5.6666666666666671E-2</v>
      </c>
      <c r="Y2" s="22">
        <f t="shared" si="0"/>
        <v>6.0000000000000005E-2</v>
      </c>
      <c r="Z2" s="22">
        <f t="shared" si="0"/>
        <v>6.3333333333333339E-2</v>
      </c>
      <c r="AA2" s="22">
        <f t="shared" si="0"/>
        <v>6.6666666666666666E-2</v>
      </c>
      <c r="AB2" s="22">
        <f t="shared" si="0"/>
        <v>7.0000000000000007E-2</v>
      </c>
      <c r="AC2" s="22">
        <f t="shared" si="0"/>
        <v>7.3333333333333334E-2</v>
      </c>
      <c r="AD2" s="22">
        <f t="shared" si="0"/>
        <v>7.6666666666666675E-2</v>
      </c>
      <c r="AE2" s="22">
        <f t="shared" si="0"/>
        <v>0.08</v>
      </c>
      <c r="AF2" s="22">
        <f t="shared" si="0"/>
        <v>8.3333333333333343E-2</v>
      </c>
      <c r="AG2" s="22">
        <f t="shared" si="0"/>
        <v>8.666666666666667E-2</v>
      </c>
      <c r="AH2" s="22">
        <f t="shared" si="0"/>
        <v>9.0000000000000011E-2</v>
      </c>
      <c r="AI2" s="22">
        <f t="shared" si="0"/>
        <v>9.3333333333333338E-2</v>
      </c>
      <c r="AJ2" s="22">
        <f t="shared" si="0"/>
        <v>9.6666666666666679E-2</v>
      </c>
      <c r="AK2" s="22">
        <f t="shared" si="0"/>
        <v>0.1</v>
      </c>
      <c r="AL2" s="27"/>
      <c r="AM2" s="30"/>
    </row>
    <row r="3" spans="1:39" x14ac:dyDescent="0.3">
      <c r="A3" s="34" t="s">
        <v>0</v>
      </c>
      <c r="B3" s="35">
        <v>0.1</v>
      </c>
      <c r="E3" s="21">
        <v>31</v>
      </c>
      <c r="F3" s="22">
        <f t="shared" ref="F3:F31" si="1">$B$6*(E3-1)</f>
        <v>0.1</v>
      </c>
      <c r="G3" s="8">
        <f>$B$16</f>
        <v>300</v>
      </c>
      <c r="H3" s="8">
        <v>287.48305869322951</v>
      </c>
      <c r="I3" s="14">
        <v>275.03134164268283</v>
      </c>
      <c r="J3" s="14">
        <v>262.70930892847252</v>
      </c>
      <c r="K3" s="14">
        <v>250.57990284577284</v>
      </c>
      <c r="L3" s="14">
        <v>238.70381521606532</v>
      </c>
      <c r="M3" s="14">
        <v>227.13878554918449</v>
      </c>
      <c r="N3" s="14">
        <v>215.93893937085255</v>
      </c>
      <c r="O3" s="14">
        <v>205.15417523997974</v>
      </c>
      <c r="P3" s="14">
        <v>194.82960804004341</v>
      </c>
      <c r="Q3" s="14">
        <v>185.00507506829399</v>
      </c>
      <c r="R3" s="14">
        <v>175.71471029723759</v>
      </c>
      <c r="S3" s="14">
        <v>166.98659097827712</v>
      </c>
      <c r="T3" s="14">
        <v>158.8424595312826</v>
      </c>
      <c r="U3" s="14">
        <v>151.29752244885287</v>
      </c>
      <c r="V3" s="14">
        <v>144.36032677049803</v>
      </c>
      <c r="W3" s="14">
        <v>138.03271357689411</v>
      </c>
      <c r="X3" s="14">
        <v>132.30984694049522</v>
      </c>
      <c r="Y3" s="14">
        <v>127.18031586394319</v>
      </c>
      <c r="Z3" s="14">
        <v>122.62630595438372</v>
      </c>
      <c r="AA3" s="14">
        <v>118.62383692695919</v>
      </c>
      <c r="AB3" s="14">
        <v>115.14306150596819</v>
      </c>
      <c r="AC3" s="14">
        <v>112.1486208939001</v>
      </c>
      <c r="AD3" s="14">
        <v>109.60005169863211</v>
      </c>
      <c r="AE3" s="14">
        <v>107.45223903544318</v>
      </c>
      <c r="AF3" s="14">
        <v>105.65591043802337</v>
      </c>
      <c r="AG3" s="14">
        <v>104.15816520399028</v>
      </c>
      <c r="AH3" s="14">
        <v>102.90303384703938</v>
      </c>
      <c r="AI3" s="14">
        <v>101.83206241093713</v>
      </c>
      <c r="AJ3" s="14">
        <v>100.88491650200805</v>
      </c>
      <c r="AK3" s="8">
        <f>$B$17</f>
        <v>100</v>
      </c>
      <c r="AL3" s="22">
        <f>$B$6*(AM3-1)</f>
        <v>0.1</v>
      </c>
      <c r="AM3" s="21">
        <v>31</v>
      </c>
    </row>
    <row r="4" spans="1:39" x14ac:dyDescent="0.3">
      <c r="A4" s="34" t="s">
        <v>24</v>
      </c>
      <c r="B4" s="36">
        <v>0.1</v>
      </c>
      <c r="E4" s="21">
        <v>30</v>
      </c>
      <c r="F4" s="22">
        <f t="shared" si="1"/>
        <v>9.6666666666666679E-2</v>
      </c>
      <c r="G4" s="8">
        <f t="shared" ref="G4:G33" si="2">$B$16</f>
        <v>300</v>
      </c>
      <c r="H4" s="14">
        <v>287.48305869322951</v>
      </c>
      <c r="I4" s="14">
        <v>275.03134164268283</v>
      </c>
      <c r="J4" s="14">
        <v>262.70930892847252</v>
      </c>
      <c r="K4" s="14">
        <v>250.57990284577284</v>
      </c>
      <c r="L4" s="14">
        <v>238.70381521606532</v>
      </c>
      <c r="M4" s="14">
        <v>227.13878554918449</v>
      </c>
      <c r="N4" s="14">
        <v>215.93893937085255</v>
      </c>
      <c r="O4" s="14">
        <v>205.15417523997974</v>
      </c>
      <c r="P4" s="14">
        <v>194.82960804004341</v>
      </c>
      <c r="Q4" s="14">
        <v>185.00507506829399</v>
      </c>
      <c r="R4" s="14">
        <v>175.71471029723762</v>
      </c>
      <c r="S4" s="14">
        <v>166.98659097827715</v>
      </c>
      <c r="T4" s="14">
        <v>158.8424595312826</v>
      </c>
      <c r="U4" s="14">
        <v>151.29752244885287</v>
      </c>
      <c r="V4" s="14">
        <v>144.36032677049803</v>
      </c>
      <c r="W4" s="14">
        <v>138.03271357689411</v>
      </c>
      <c r="X4" s="14">
        <v>132.30984694049522</v>
      </c>
      <c r="Y4" s="14">
        <v>127.18031586394319</v>
      </c>
      <c r="Z4" s="14">
        <v>122.62630595438372</v>
      </c>
      <c r="AA4" s="14">
        <v>118.6238369269592</v>
      </c>
      <c r="AB4" s="14">
        <v>115.14306150596821</v>
      </c>
      <c r="AC4" s="14">
        <v>112.1486208939001</v>
      </c>
      <c r="AD4" s="14">
        <v>109.60005169863211</v>
      </c>
      <c r="AE4" s="14">
        <v>107.4522390354432</v>
      </c>
      <c r="AF4" s="14">
        <v>105.65591043802337</v>
      </c>
      <c r="AG4" s="14">
        <v>104.15816520399028</v>
      </c>
      <c r="AH4" s="14">
        <v>102.90303384703938</v>
      </c>
      <c r="AI4" s="14">
        <v>101.83206241093713</v>
      </c>
      <c r="AJ4" s="14">
        <v>100.88491650200805</v>
      </c>
      <c r="AK4" s="8">
        <f t="shared" ref="AK4:AK33" si="3">$B$17</f>
        <v>100</v>
      </c>
      <c r="AL4" s="22">
        <f t="shared" ref="AL4:AL33" si="4">$B$6*(AM4-1)</f>
        <v>9.6666666666666679E-2</v>
      </c>
      <c r="AM4" s="21">
        <v>30</v>
      </c>
    </row>
    <row r="5" spans="1:39" x14ac:dyDescent="0.3">
      <c r="A5" s="34" t="s">
        <v>1</v>
      </c>
      <c r="B5" s="37">
        <f>B3/30</f>
        <v>3.3333333333333335E-3</v>
      </c>
      <c r="E5" s="21">
        <v>29</v>
      </c>
      <c r="F5" s="22">
        <f t="shared" si="1"/>
        <v>9.3333333333333338E-2</v>
      </c>
      <c r="G5" s="8">
        <f t="shared" si="2"/>
        <v>300</v>
      </c>
      <c r="H5" s="14">
        <v>287.48305869322951</v>
      </c>
      <c r="I5" s="14">
        <v>275.03134164268283</v>
      </c>
      <c r="J5" s="14">
        <v>262.70930892847252</v>
      </c>
      <c r="K5" s="14">
        <v>250.57990284577284</v>
      </c>
      <c r="L5" s="14">
        <v>238.70381521606532</v>
      </c>
      <c r="M5" s="14">
        <v>227.13878554918449</v>
      </c>
      <c r="N5" s="14">
        <v>215.93893937085255</v>
      </c>
      <c r="O5" s="14">
        <v>205.15417523997974</v>
      </c>
      <c r="P5" s="14">
        <v>194.82960804004341</v>
      </c>
      <c r="Q5" s="14">
        <v>185.00507506829399</v>
      </c>
      <c r="R5" s="14">
        <v>175.71471029723762</v>
      </c>
      <c r="S5" s="14">
        <v>166.98659097827715</v>
      </c>
      <c r="T5" s="14">
        <v>158.8424595312826</v>
      </c>
      <c r="U5" s="14">
        <v>151.29752244885287</v>
      </c>
      <c r="V5" s="14">
        <v>144.36032677049803</v>
      </c>
      <c r="W5" s="14">
        <v>138.03271357689411</v>
      </c>
      <c r="X5" s="14">
        <v>132.30984694049522</v>
      </c>
      <c r="Y5" s="14">
        <v>127.18031586394319</v>
      </c>
      <c r="Z5" s="14">
        <v>122.62630595438372</v>
      </c>
      <c r="AA5" s="14">
        <v>118.6238369269592</v>
      </c>
      <c r="AB5" s="14">
        <v>115.14306150596821</v>
      </c>
      <c r="AC5" s="14">
        <v>112.1486208939001</v>
      </c>
      <c r="AD5" s="14">
        <v>109.60005169863211</v>
      </c>
      <c r="AE5" s="14">
        <v>107.4522390354432</v>
      </c>
      <c r="AF5" s="14">
        <v>105.65591043802337</v>
      </c>
      <c r="AG5" s="14">
        <v>104.15816520399028</v>
      </c>
      <c r="AH5" s="14">
        <v>102.90303384703938</v>
      </c>
      <c r="AI5" s="14">
        <v>101.83206241093713</v>
      </c>
      <c r="AJ5" s="14">
        <v>100.88491650200805</v>
      </c>
      <c r="AK5" s="8">
        <f t="shared" si="3"/>
        <v>100</v>
      </c>
      <c r="AL5" s="22">
        <f t="shared" si="4"/>
        <v>9.3333333333333338E-2</v>
      </c>
      <c r="AM5" s="21">
        <v>29</v>
      </c>
    </row>
    <row r="6" spans="1:39" x14ac:dyDescent="0.3">
      <c r="A6" s="34" t="s">
        <v>25</v>
      </c>
      <c r="B6" s="37">
        <f>B4/30</f>
        <v>3.3333333333333335E-3</v>
      </c>
      <c r="C6" s="57" t="s">
        <v>30</v>
      </c>
      <c r="E6" s="21">
        <v>28</v>
      </c>
      <c r="F6" s="22">
        <f t="shared" si="1"/>
        <v>9.0000000000000011E-2</v>
      </c>
      <c r="G6" s="8">
        <v>300</v>
      </c>
      <c r="H6" s="14">
        <v>287.48305869322951</v>
      </c>
      <c r="I6" s="14">
        <v>275.03134164268283</v>
      </c>
      <c r="J6" s="14">
        <v>262.70930892847252</v>
      </c>
      <c r="K6" s="14">
        <v>250.57990284577284</v>
      </c>
      <c r="L6" s="14">
        <v>238.70381521606532</v>
      </c>
      <c r="M6" s="14">
        <v>227.13878554918449</v>
      </c>
      <c r="N6" s="14">
        <v>215.93893937085255</v>
      </c>
      <c r="O6" s="14">
        <v>205.15417523997974</v>
      </c>
      <c r="P6" s="14">
        <v>194.82960804004341</v>
      </c>
      <c r="Q6" s="14">
        <v>185.00507506829399</v>
      </c>
      <c r="R6" s="14">
        <v>175.71471029723762</v>
      </c>
      <c r="S6" s="14">
        <v>166.98659097827715</v>
      </c>
      <c r="T6" s="14">
        <v>158.8424595312826</v>
      </c>
      <c r="U6" s="14">
        <v>151.29752244885287</v>
      </c>
      <c r="V6" s="14">
        <v>144.36032677049803</v>
      </c>
      <c r="W6" s="14">
        <v>138.03271357689411</v>
      </c>
      <c r="X6" s="14">
        <v>132.30984694049522</v>
      </c>
      <c r="Y6" s="14">
        <v>127.18031586394319</v>
      </c>
      <c r="Z6" s="14">
        <v>122.62630595438372</v>
      </c>
      <c r="AA6" s="14">
        <v>118.6238369269592</v>
      </c>
      <c r="AB6" s="14">
        <v>115.14306150596821</v>
      </c>
      <c r="AC6" s="14">
        <v>112.1486208939001</v>
      </c>
      <c r="AD6" s="14">
        <v>109.60005169863211</v>
      </c>
      <c r="AE6" s="14">
        <v>107.4522390354432</v>
      </c>
      <c r="AF6" s="14">
        <v>105.65591043802337</v>
      </c>
      <c r="AG6" s="14">
        <v>104.15816520399028</v>
      </c>
      <c r="AH6" s="14">
        <v>102.90303384703938</v>
      </c>
      <c r="AI6" s="14">
        <v>101.83206241093713</v>
      </c>
      <c r="AJ6" s="14">
        <v>100.88491650200805</v>
      </c>
      <c r="AK6" s="8">
        <f t="shared" si="3"/>
        <v>100</v>
      </c>
      <c r="AL6" s="22">
        <f t="shared" si="4"/>
        <v>9.0000000000000011E-2</v>
      </c>
      <c r="AM6" s="21">
        <v>28</v>
      </c>
    </row>
    <row r="7" spans="1:39" x14ac:dyDescent="0.3">
      <c r="A7" s="34" t="s">
        <v>3</v>
      </c>
      <c r="B7" s="36">
        <v>120</v>
      </c>
      <c r="C7" s="2">
        <v>121</v>
      </c>
      <c r="E7" s="21">
        <v>27</v>
      </c>
      <c r="F7" s="22">
        <f t="shared" si="1"/>
        <v>8.666666666666667E-2</v>
      </c>
      <c r="G7" s="8">
        <v>300</v>
      </c>
      <c r="H7" s="14">
        <v>287.48305869322951</v>
      </c>
      <c r="I7" s="14">
        <v>275.03134164268283</v>
      </c>
      <c r="J7" s="14">
        <v>262.70930892847252</v>
      </c>
      <c r="K7" s="14">
        <v>250.57990284577284</v>
      </c>
      <c r="L7" s="14">
        <v>238.70381521606532</v>
      </c>
      <c r="M7" s="14">
        <v>227.13878554918449</v>
      </c>
      <c r="N7" s="14">
        <v>215.93893937085255</v>
      </c>
      <c r="O7" s="14">
        <v>205.15417523997974</v>
      </c>
      <c r="P7" s="14">
        <v>194.82960804004341</v>
      </c>
      <c r="Q7" s="14">
        <v>185.00507506829399</v>
      </c>
      <c r="R7" s="14">
        <v>175.71471029723762</v>
      </c>
      <c r="S7" s="14">
        <v>166.98659097827715</v>
      </c>
      <c r="T7" s="14">
        <v>158.8424595312826</v>
      </c>
      <c r="U7" s="14">
        <v>151.29752244885287</v>
      </c>
      <c r="V7" s="14">
        <v>144.36032677049803</v>
      </c>
      <c r="W7" s="14">
        <v>138.03271357689411</v>
      </c>
      <c r="X7" s="14">
        <v>132.30984694049522</v>
      </c>
      <c r="Y7" s="14">
        <v>127.18031586394319</v>
      </c>
      <c r="Z7" s="14">
        <v>122.62630595438372</v>
      </c>
      <c r="AA7" s="14">
        <v>118.6238369269592</v>
      </c>
      <c r="AB7" s="14">
        <v>115.14306150596821</v>
      </c>
      <c r="AC7" s="14">
        <v>112.1486208939001</v>
      </c>
      <c r="AD7" s="14">
        <v>109.60005169863211</v>
      </c>
      <c r="AE7" s="14">
        <v>107.4522390354432</v>
      </c>
      <c r="AF7" s="14">
        <v>105.65591043802337</v>
      </c>
      <c r="AG7" s="14">
        <v>104.15816520399028</v>
      </c>
      <c r="AH7" s="14">
        <v>102.90303384703938</v>
      </c>
      <c r="AI7" s="14">
        <v>101.83206241093713</v>
      </c>
      <c r="AJ7" s="14">
        <v>100.88491650200805</v>
      </c>
      <c r="AK7" s="8">
        <f t="shared" si="3"/>
        <v>100</v>
      </c>
      <c r="AL7" s="22">
        <f t="shared" si="4"/>
        <v>8.666666666666667E-2</v>
      </c>
      <c r="AM7" s="21">
        <v>27</v>
      </c>
    </row>
    <row r="8" spans="1:39" x14ac:dyDescent="0.3">
      <c r="A8" s="34" t="s">
        <v>2</v>
      </c>
      <c r="B8" s="36">
        <v>1</v>
      </c>
      <c r="E8" s="21">
        <v>26</v>
      </c>
      <c r="F8" s="22">
        <f t="shared" si="1"/>
        <v>8.3333333333333343E-2</v>
      </c>
      <c r="G8" s="8">
        <f t="shared" si="2"/>
        <v>300</v>
      </c>
      <c r="H8" s="14">
        <v>287.48305869322951</v>
      </c>
      <c r="I8" s="14">
        <v>275.03134164268283</v>
      </c>
      <c r="J8" s="14">
        <v>262.70930892847252</v>
      </c>
      <c r="K8" s="14">
        <v>250.57990284577284</v>
      </c>
      <c r="L8" s="14">
        <v>238.70381521606532</v>
      </c>
      <c r="M8" s="14">
        <v>227.13878554918449</v>
      </c>
      <c r="N8" s="14">
        <v>215.93893937085255</v>
      </c>
      <c r="O8" s="14">
        <v>205.15417523997974</v>
      </c>
      <c r="P8" s="14">
        <v>194.82960804004341</v>
      </c>
      <c r="Q8" s="14">
        <v>185.00507506829399</v>
      </c>
      <c r="R8" s="14">
        <v>175.71471029723762</v>
      </c>
      <c r="S8" s="14">
        <v>166.98659097827715</v>
      </c>
      <c r="T8" s="14">
        <v>158.8424595312826</v>
      </c>
      <c r="U8" s="14">
        <v>151.29752244885287</v>
      </c>
      <c r="V8" s="14">
        <v>144.36032677049803</v>
      </c>
      <c r="W8" s="14">
        <v>138.03271357689411</v>
      </c>
      <c r="X8" s="14">
        <v>132.30984694049522</v>
      </c>
      <c r="Y8" s="14">
        <v>127.18031586394319</v>
      </c>
      <c r="Z8" s="14">
        <v>122.62630595438372</v>
      </c>
      <c r="AA8" s="14">
        <v>118.6238369269592</v>
      </c>
      <c r="AB8" s="14">
        <v>115.14306150596821</v>
      </c>
      <c r="AC8" s="14">
        <v>112.1486208939001</v>
      </c>
      <c r="AD8" s="14">
        <v>109.60005169863211</v>
      </c>
      <c r="AE8" s="14">
        <v>107.4522390354432</v>
      </c>
      <c r="AF8" s="14">
        <v>105.65591043802337</v>
      </c>
      <c r="AG8" s="14">
        <v>104.15816520399028</v>
      </c>
      <c r="AH8" s="14">
        <v>102.90303384703938</v>
      </c>
      <c r="AI8" s="14">
        <v>101.83206241093713</v>
      </c>
      <c r="AJ8" s="14">
        <v>100.88491650200805</v>
      </c>
      <c r="AK8" s="8">
        <f t="shared" si="3"/>
        <v>100</v>
      </c>
      <c r="AL8" s="22">
        <f t="shared" si="4"/>
        <v>8.3333333333333343E-2</v>
      </c>
      <c r="AM8" s="21">
        <v>26</v>
      </c>
    </row>
    <row r="9" spans="1:39" x14ac:dyDescent="0.3">
      <c r="E9" s="21">
        <v>25</v>
      </c>
      <c r="F9" s="22">
        <f t="shared" si="1"/>
        <v>0.08</v>
      </c>
      <c r="G9" s="8">
        <f t="shared" si="2"/>
        <v>300</v>
      </c>
      <c r="H9" s="14">
        <v>287.48305869322951</v>
      </c>
      <c r="I9" s="14">
        <v>275.03134164268283</v>
      </c>
      <c r="J9" s="14">
        <v>262.70930892847252</v>
      </c>
      <c r="K9" s="14">
        <v>250.57990284577284</v>
      </c>
      <c r="L9" s="14">
        <v>238.70381521606532</v>
      </c>
      <c r="M9" s="14">
        <v>227.13878554918449</v>
      </c>
      <c r="N9" s="14">
        <v>215.93893937085255</v>
      </c>
      <c r="O9" s="14">
        <v>205.15417523997974</v>
      </c>
      <c r="P9" s="14">
        <v>194.82960804004341</v>
      </c>
      <c r="Q9" s="14">
        <v>185.00507506829396</v>
      </c>
      <c r="R9" s="14">
        <v>175.71471029723759</v>
      </c>
      <c r="S9" s="14">
        <v>166.98659097827715</v>
      </c>
      <c r="T9" s="14">
        <v>158.8424595312826</v>
      </c>
      <c r="U9" s="14">
        <v>151.29752244885287</v>
      </c>
      <c r="V9" s="14">
        <v>144.36032677049803</v>
      </c>
      <c r="W9" s="14">
        <v>138.03271357689411</v>
      </c>
      <c r="X9" s="14">
        <v>132.30984694049522</v>
      </c>
      <c r="Y9" s="14">
        <v>127.18031586394319</v>
      </c>
      <c r="Z9" s="14">
        <v>122.62630595438372</v>
      </c>
      <c r="AA9" s="14">
        <v>118.6238369269592</v>
      </c>
      <c r="AB9" s="14">
        <v>115.14306150596821</v>
      </c>
      <c r="AC9" s="14">
        <v>112.1486208939001</v>
      </c>
      <c r="AD9" s="14">
        <v>109.60005169863211</v>
      </c>
      <c r="AE9" s="14">
        <v>107.4522390354432</v>
      </c>
      <c r="AF9" s="14">
        <v>105.65591043802337</v>
      </c>
      <c r="AG9" s="14">
        <v>104.15816520399028</v>
      </c>
      <c r="AH9" s="14">
        <v>102.90303384703938</v>
      </c>
      <c r="AI9" s="14">
        <v>101.83206241093713</v>
      </c>
      <c r="AJ9" s="14">
        <v>100.88491650200805</v>
      </c>
      <c r="AK9" s="8">
        <f t="shared" si="3"/>
        <v>100</v>
      </c>
      <c r="AL9" s="22">
        <f t="shared" si="4"/>
        <v>0.08</v>
      </c>
      <c r="AM9" s="21">
        <v>25</v>
      </c>
    </row>
    <row r="10" spans="1:39" x14ac:dyDescent="0.3">
      <c r="A10" s="51" t="s">
        <v>26</v>
      </c>
      <c r="B10" s="51"/>
      <c r="E10" s="21">
        <v>24</v>
      </c>
      <c r="F10" s="22">
        <f t="shared" si="1"/>
        <v>7.6666666666666675E-2</v>
      </c>
      <c r="G10" s="8">
        <v>300</v>
      </c>
      <c r="H10" s="14">
        <v>287.48305869322951</v>
      </c>
      <c r="I10" s="14">
        <v>275.03134164268283</v>
      </c>
      <c r="J10" s="14">
        <v>262.70930892847247</v>
      </c>
      <c r="K10" s="14">
        <v>250.57990284577284</v>
      </c>
      <c r="L10" s="14">
        <v>238.70381521606532</v>
      </c>
      <c r="M10" s="14">
        <v>227.13878554918446</v>
      </c>
      <c r="N10" s="14">
        <v>215.93893937085255</v>
      </c>
      <c r="O10" s="14">
        <v>205.15417523997974</v>
      </c>
      <c r="P10" s="14">
        <v>194.82960804004341</v>
      </c>
      <c r="Q10" s="14">
        <v>185.00507506829393</v>
      </c>
      <c r="R10" s="14">
        <v>175.71471029723756</v>
      </c>
      <c r="S10" s="14">
        <v>166.98659097827715</v>
      </c>
      <c r="T10" s="14">
        <v>158.8424595312826</v>
      </c>
      <c r="U10" s="14">
        <v>151.29752244885285</v>
      </c>
      <c r="V10" s="14">
        <v>144.36032677049801</v>
      </c>
      <c r="W10" s="14">
        <v>138.03271357689411</v>
      </c>
      <c r="X10" s="14">
        <v>132.30984694049522</v>
      </c>
      <c r="Y10" s="14">
        <v>127.18031586394319</v>
      </c>
      <c r="Z10" s="14">
        <v>122.62630595438372</v>
      </c>
      <c r="AA10" s="14">
        <v>118.6238369269592</v>
      </c>
      <c r="AB10" s="14">
        <v>115.14306150596821</v>
      </c>
      <c r="AC10" s="14">
        <v>112.1486208939001</v>
      </c>
      <c r="AD10" s="14">
        <v>109.60005169863209</v>
      </c>
      <c r="AE10" s="14">
        <v>107.4522390354432</v>
      </c>
      <c r="AF10" s="14">
        <v>105.65591043802337</v>
      </c>
      <c r="AG10" s="14">
        <v>104.15816520399028</v>
      </c>
      <c r="AH10" s="14">
        <v>102.90303384703938</v>
      </c>
      <c r="AI10" s="14">
        <v>101.83206241093713</v>
      </c>
      <c r="AJ10" s="14">
        <v>100.88491650200805</v>
      </c>
      <c r="AK10" s="8">
        <f t="shared" si="3"/>
        <v>100</v>
      </c>
      <c r="AL10" s="22">
        <f t="shared" si="4"/>
        <v>7.6666666666666675E-2</v>
      </c>
      <c r="AM10" s="21">
        <v>24</v>
      </c>
    </row>
    <row r="11" spans="1:39" x14ac:dyDescent="0.3">
      <c r="A11" s="38" t="s">
        <v>4</v>
      </c>
      <c r="B11" s="38">
        <v>460</v>
      </c>
      <c r="E11" s="21">
        <v>23</v>
      </c>
      <c r="F11" s="22">
        <f t="shared" si="1"/>
        <v>7.3333333333333334E-2</v>
      </c>
      <c r="G11" s="8">
        <f t="shared" si="2"/>
        <v>300</v>
      </c>
      <c r="H11" s="14">
        <v>287.48305869322951</v>
      </c>
      <c r="I11" s="14">
        <v>275.03134164268283</v>
      </c>
      <c r="J11" s="14">
        <v>262.70930892847241</v>
      </c>
      <c r="K11" s="14">
        <v>250.57990284577278</v>
      </c>
      <c r="L11" s="14">
        <v>238.70381521606527</v>
      </c>
      <c r="M11" s="14">
        <v>227.13878554918443</v>
      </c>
      <c r="N11" s="14">
        <v>215.93893937085249</v>
      </c>
      <c r="O11" s="14">
        <v>205.15417523997971</v>
      </c>
      <c r="P11" s="14">
        <v>194.82960804004335</v>
      </c>
      <c r="Q11" s="14">
        <v>185.00507506829388</v>
      </c>
      <c r="R11" s="14">
        <v>175.7147102972375</v>
      </c>
      <c r="S11" s="14">
        <v>166.98659097827709</v>
      </c>
      <c r="T11" s="14">
        <v>158.84245953128254</v>
      </c>
      <c r="U11" s="14">
        <v>151.29752244885282</v>
      </c>
      <c r="V11" s="14">
        <v>144.36032677049798</v>
      </c>
      <c r="W11" s="14">
        <v>138.03271357689408</v>
      </c>
      <c r="X11" s="14">
        <v>132.30984694049519</v>
      </c>
      <c r="Y11" s="14">
        <v>127.18031586394318</v>
      </c>
      <c r="Z11" s="14">
        <v>122.6263059543837</v>
      </c>
      <c r="AA11" s="14">
        <v>118.6238369269592</v>
      </c>
      <c r="AB11" s="14">
        <v>115.14306150596819</v>
      </c>
      <c r="AC11" s="14">
        <v>112.1486208939001</v>
      </c>
      <c r="AD11" s="14">
        <v>109.60005169863207</v>
      </c>
      <c r="AE11" s="14">
        <v>107.45223903544317</v>
      </c>
      <c r="AF11" s="14">
        <v>105.65591043802335</v>
      </c>
      <c r="AG11" s="14">
        <v>104.15816520399027</v>
      </c>
      <c r="AH11" s="14">
        <v>102.90303384703938</v>
      </c>
      <c r="AI11" s="14">
        <v>101.83206241093711</v>
      </c>
      <c r="AJ11" s="14">
        <v>100.88491650200805</v>
      </c>
      <c r="AK11" s="8">
        <f t="shared" si="3"/>
        <v>100</v>
      </c>
      <c r="AL11" s="22">
        <f t="shared" si="4"/>
        <v>7.3333333333333334E-2</v>
      </c>
      <c r="AM11" s="21">
        <v>23</v>
      </c>
    </row>
    <row r="12" spans="1:39" x14ac:dyDescent="0.3">
      <c r="A12" s="38" t="s">
        <v>5</v>
      </c>
      <c r="B12" s="38">
        <v>7800</v>
      </c>
      <c r="E12" s="21">
        <v>22</v>
      </c>
      <c r="F12" s="22">
        <f t="shared" si="1"/>
        <v>7.0000000000000007E-2</v>
      </c>
      <c r="G12" s="8">
        <f t="shared" si="2"/>
        <v>300</v>
      </c>
      <c r="H12" s="14">
        <v>287.4830586932294</v>
      </c>
      <c r="I12" s="14">
        <v>275.03134164268278</v>
      </c>
      <c r="J12" s="14">
        <v>262.70930892847235</v>
      </c>
      <c r="K12" s="14">
        <v>250.57990284577272</v>
      </c>
      <c r="L12" s="14">
        <v>238.70381521606524</v>
      </c>
      <c r="M12" s="14">
        <v>227.13878554918438</v>
      </c>
      <c r="N12" s="14">
        <v>215.93893937085244</v>
      </c>
      <c r="O12" s="14">
        <v>205.15417523997968</v>
      </c>
      <c r="P12" s="14">
        <v>194.8296080400433</v>
      </c>
      <c r="Q12" s="14">
        <v>185.00507506829382</v>
      </c>
      <c r="R12" s="14">
        <v>175.71471029723745</v>
      </c>
      <c r="S12" s="14">
        <v>166.98659097827704</v>
      </c>
      <c r="T12" s="14">
        <v>158.84245953128249</v>
      </c>
      <c r="U12" s="14">
        <v>151.29752244885279</v>
      </c>
      <c r="V12" s="14">
        <v>144.36032677049795</v>
      </c>
      <c r="W12" s="14">
        <v>138.03271357689403</v>
      </c>
      <c r="X12" s="14">
        <v>132.30984694049513</v>
      </c>
      <c r="Y12" s="14">
        <v>127.18031586394315</v>
      </c>
      <c r="Z12" s="14">
        <v>122.62630595438367</v>
      </c>
      <c r="AA12" s="14">
        <v>118.62383692695919</v>
      </c>
      <c r="AB12" s="14">
        <v>115.14306150596818</v>
      </c>
      <c r="AC12" s="14">
        <v>112.1486208939001</v>
      </c>
      <c r="AD12" s="14">
        <v>109.60005169863206</v>
      </c>
      <c r="AE12" s="14">
        <v>107.45223903544314</v>
      </c>
      <c r="AF12" s="14">
        <v>105.65591043802334</v>
      </c>
      <c r="AG12" s="14">
        <v>104.15816520399025</v>
      </c>
      <c r="AH12" s="14">
        <v>102.90303384703935</v>
      </c>
      <c r="AI12" s="14">
        <v>101.83206241093711</v>
      </c>
      <c r="AJ12" s="14">
        <v>100.88491650200805</v>
      </c>
      <c r="AK12" s="8">
        <f t="shared" si="3"/>
        <v>100</v>
      </c>
      <c r="AL12" s="22">
        <f t="shared" si="4"/>
        <v>7.0000000000000007E-2</v>
      </c>
      <c r="AM12" s="21">
        <v>22</v>
      </c>
    </row>
    <row r="13" spans="1:39" x14ac:dyDescent="0.3">
      <c r="A13" s="38" t="s">
        <v>31</v>
      </c>
      <c r="B13" s="38">
        <v>46</v>
      </c>
      <c r="E13" s="21">
        <v>21</v>
      </c>
      <c r="F13" s="22">
        <f t="shared" si="1"/>
        <v>6.6666666666666666E-2</v>
      </c>
      <c r="G13" s="8">
        <f t="shared" si="2"/>
        <v>300</v>
      </c>
      <c r="H13" s="14">
        <v>287.48305869322934</v>
      </c>
      <c r="I13" s="14">
        <v>275.03134164268272</v>
      </c>
      <c r="J13" s="14">
        <v>262.7093089284723</v>
      </c>
      <c r="K13" s="14">
        <v>250.57990284577266</v>
      </c>
      <c r="L13" s="14">
        <v>238.70381521606521</v>
      </c>
      <c r="M13" s="14">
        <v>227.13878554918432</v>
      </c>
      <c r="N13" s="14">
        <v>215.93893937085238</v>
      </c>
      <c r="O13" s="14">
        <v>205.15417523997962</v>
      </c>
      <c r="P13" s="14">
        <v>194.82960804004324</v>
      </c>
      <c r="Q13" s="14">
        <v>185.00507506829376</v>
      </c>
      <c r="R13" s="14">
        <v>175.71471029723739</v>
      </c>
      <c r="S13" s="14">
        <v>166.98659097827698</v>
      </c>
      <c r="T13" s="14">
        <v>158.84245953128243</v>
      </c>
      <c r="U13" s="14">
        <v>151.29752244885276</v>
      </c>
      <c r="V13" s="14">
        <v>144.36032677049789</v>
      </c>
      <c r="W13" s="14">
        <v>138.032713576894</v>
      </c>
      <c r="X13" s="14">
        <v>132.30984694049511</v>
      </c>
      <c r="Y13" s="14">
        <v>127.18031586394311</v>
      </c>
      <c r="Z13" s="14">
        <v>122.62630595438364</v>
      </c>
      <c r="AA13" s="14">
        <v>118.62383692695914</v>
      </c>
      <c r="AB13" s="14">
        <v>115.14306150596813</v>
      </c>
      <c r="AC13" s="14">
        <v>112.14862089390007</v>
      </c>
      <c r="AD13" s="14">
        <v>109.60005169863204</v>
      </c>
      <c r="AE13" s="14">
        <v>107.45223903544311</v>
      </c>
      <c r="AF13" s="14">
        <v>105.65591043802331</v>
      </c>
      <c r="AG13" s="14">
        <v>104.15816520399024</v>
      </c>
      <c r="AH13" s="14">
        <v>102.90303384703935</v>
      </c>
      <c r="AI13" s="14">
        <v>101.8320624109371</v>
      </c>
      <c r="AJ13" s="14">
        <v>100.88491650200805</v>
      </c>
      <c r="AK13" s="8">
        <f t="shared" si="3"/>
        <v>100</v>
      </c>
      <c r="AL13" s="22">
        <f t="shared" si="4"/>
        <v>6.6666666666666666E-2</v>
      </c>
      <c r="AM13" s="21">
        <v>21</v>
      </c>
    </row>
    <row r="14" spans="1:39" x14ac:dyDescent="0.3">
      <c r="A14" s="7"/>
      <c r="B14" s="7"/>
      <c r="E14" s="21">
        <v>20</v>
      </c>
      <c r="F14" s="22">
        <f t="shared" si="1"/>
        <v>6.3333333333333339E-2</v>
      </c>
      <c r="G14" s="8">
        <v>300</v>
      </c>
      <c r="H14" s="14">
        <v>287.4830586932294</v>
      </c>
      <c r="I14" s="14">
        <v>275.03134164268272</v>
      </c>
      <c r="J14" s="14">
        <v>262.7093089284723</v>
      </c>
      <c r="K14" s="14">
        <v>250.57990284577266</v>
      </c>
      <c r="L14" s="14">
        <v>238.70381521606521</v>
      </c>
      <c r="M14" s="14">
        <v>227.13878554918432</v>
      </c>
      <c r="N14" s="14">
        <v>215.93893937085238</v>
      </c>
      <c r="O14" s="14">
        <v>205.15417523997959</v>
      </c>
      <c r="P14" s="14">
        <v>194.82960804004324</v>
      </c>
      <c r="Q14" s="14">
        <v>185.00507506829376</v>
      </c>
      <c r="R14" s="14">
        <v>175.71471029723739</v>
      </c>
      <c r="S14" s="14">
        <v>166.98659097827698</v>
      </c>
      <c r="T14" s="14">
        <v>158.84245953128243</v>
      </c>
      <c r="U14" s="14">
        <v>151.29752244885273</v>
      </c>
      <c r="V14" s="14">
        <v>144.36032677049786</v>
      </c>
      <c r="W14" s="14">
        <v>138.032713576894</v>
      </c>
      <c r="X14" s="14">
        <v>132.30984694049511</v>
      </c>
      <c r="Y14" s="14">
        <v>127.18031586394309</v>
      </c>
      <c r="Z14" s="14">
        <v>122.62630595438364</v>
      </c>
      <c r="AA14" s="14">
        <v>118.62383692695914</v>
      </c>
      <c r="AB14" s="14">
        <v>115.14306150596813</v>
      </c>
      <c r="AC14" s="14">
        <v>112.14862089390007</v>
      </c>
      <c r="AD14" s="14">
        <v>109.60005169863204</v>
      </c>
      <c r="AE14" s="14">
        <v>107.4522390354431</v>
      </c>
      <c r="AF14" s="14">
        <v>105.65591043802331</v>
      </c>
      <c r="AG14" s="14">
        <v>104.15816520399022</v>
      </c>
      <c r="AH14" s="14">
        <v>102.90303384703935</v>
      </c>
      <c r="AI14" s="14">
        <v>101.8320624109371</v>
      </c>
      <c r="AJ14" s="14">
        <v>100.88491650200805</v>
      </c>
      <c r="AK14" s="8">
        <f t="shared" si="3"/>
        <v>100</v>
      </c>
      <c r="AL14" s="22">
        <f t="shared" si="4"/>
        <v>6.3333333333333339E-2</v>
      </c>
      <c r="AM14" s="21">
        <v>20</v>
      </c>
    </row>
    <row r="15" spans="1:39" x14ac:dyDescent="0.3">
      <c r="A15" s="50" t="s">
        <v>27</v>
      </c>
      <c r="B15" s="50"/>
      <c r="E15" s="21">
        <v>19</v>
      </c>
      <c r="F15" s="22">
        <f t="shared" si="1"/>
        <v>6.0000000000000005E-2</v>
      </c>
      <c r="G15" s="8">
        <v>300</v>
      </c>
      <c r="H15" s="14">
        <v>287.4830586932294</v>
      </c>
      <c r="I15" s="14">
        <v>275.03134164268278</v>
      </c>
      <c r="J15" s="14">
        <v>262.70930892847235</v>
      </c>
      <c r="K15" s="14">
        <v>250.57990284577272</v>
      </c>
      <c r="L15" s="14">
        <v>238.70381521606527</v>
      </c>
      <c r="M15" s="14">
        <v>227.13878554918438</v>
      </c>
      <c r="N15" s="14">
        <v>215.93893937085241</v>
      </c>
      <c r="O15" s="14">
        <v>205.15417523997962</v>
      </c>
      <c r="P15" s="14">
        <v>194.82960804004327</v>
      </c>
      <c r="Q15" s="14">
        <v>185.00507506829376</v>
      </c>
      <c r="R15" s="14">
        <v>175.71471029723739</v>
      </c>
      <c r="S15" s="14">
        <v>166.98659097827698</v>
      </c>
      <c r="T15" s="14">
        <v>158.84245953128246</v>
      </c>
      <c r="U15" s="14">
        <v>151.29752244885273</v>
      </c>
      <c r="V15" s="14">
        <v>144.36032677049789</v>
      </c>
      <c r="W15" s="14">
        <v>138.03271357689403</v>
      </c>
      <c r="X15" s="14">
        <v>132.30984694049511</v>
      </c>
      <c r="Y15" s="14">
        <v>127.18031586394311</v>
      </c>
      <c r="Z15" s="14">
        <v>122.62630595438364</v>
      </c>
      <c r="AA15" s="14">
        <v>118.62383692695917</v>
      </c>
      <c r="AB15" s="14">
        <v>115.14306150596815</v>
      </c>
      <c r="AC15" s="14">
        <v>112.14862089390009</v>
      </c>
      <c r="AD15" s="14">
        <v>109.60005169863203</v>
      </c>
      <c r="AE15" s="14">
        <v>107.45223903544311</v>
      </c>
      <c r="AF15" s="14">
        <v>105.65591043802331</v>
      </c>
      <c r="AG15" s="14">
        <v>104.15816520399024</v>
      </c>
      <c r="AH15" s="14">
        <v>102.90303384703935</v>
      </c>
      <c r="AI15" s="14">
        <v>101.83206241093711</v>
      </c>
      <c r="AJ15" s="14">
        <v>100.88491650200805</v>
      </c>
      <c r="AK15" s="8">
        <f t="shared" si="3"/>
        <v>100</v>
      </c>
      <c r="AL15" s="22">
        <f t="shared" si="4"/>
        <v>6.0000000000000005E-2</v>
      </c>
      <c r="AM15" s="21">
        <v>19</v>
      </c>
    </row>
    <row r="16" spans="1:39" x14ac:dyDescent="0.3">
      <c r="A16" s="39" t="s">
        <v>32</v>
      </c>
      <c r="B16" s="39">
        <v>300</v>
      </c>
      <c r="E16" s="21">
        <v>18</v>
      </c>
      <c r="F16" s="22">
        <f t="shared" si="1"/>
        <v>5.6666666666666671E-2</v>
      </c>
      <c r="G16" s="8">
        <v>300</v>
      </c>
      <c r="H16" s="14">
        <v>287.48305869322945</v>
      </c>
      <c r="I16" s="14">
        <v>275.03134164268283</v>
      </c>
      <c r="J16" s="14">
        <v>262.70930892847241</v>
      </c>
      <c r="K16" s="14">
        <v>250.57990284577278</v>
      </c>
      <c r="L16" s="14">
        <v>238.70381521606532</v>
      </c>
      <c r="M16" s="14">
        <v>227.13878554918443</v>
      </c>
      <c r="N16" s="14">
        <v>215.93893937085244</v>
      </c>
      <c r="O16" s="14">
        <v>205.15417523997968</v>
      </c>
      <c r="P16" s="14">
        <v>194.8296080400433</v>
      </c>
      <c r="Q16" s="14">
        <v>185.00507506829382</v>
      </c>
      <c r="R16" s="14">
        <v>175.71471029723745</v>
      </c>
      <c r="S16" s="14">
        <v>166.98659097827704</v>
      </c>
      <c r="T16" s="14">
        <v>158.84245953128249</v>
      </c>
      <c r="U16" s="14">
        <v>151.29752244885276</v>
      </c>
      <c r="V16" s="14">
        <v>144.36032677049795</v>
      </c>
      <c r="W16" s="14">
        <v>138.03271357689403</v>
      </c>
      <c r="X16" s="14">
        <v>132.30984694049516</v>
      </c>
      <c r="Y16" s="14">
        <v>127.18031586394315</v>
      </c>
      <c r="Z16" s="14">
        <v>122.62630595438367</v>
      </c>
      <c r="AA16" s="14">
        <v>118.6238369269592</v>
      </c>
      <c r="AB16" s="14">
        <v>115.14306150596818</v>
      </c>
      <c r="AC16" s="14">
        <v>112.1486208939001</v>
      </c>
      <c r="AD16" s="14">
        <v>109.60005169863206</v>
      </c>
      <c r="AE16" s="14">
        <v>107.45223903544314</v>
      </c>
      <c r="AF16" s="14">
        <v>105.65591043802334</v>
      </c>
      <c r="AG16" s="14">
        <v>104.15816520399025</v>
      </c>
      <c r="AH16" s="14">
        <v>102.90303384703935</v>
      </c>
      <c r="AI16" s="14">
        <v>101.83206241093711</v>
      </c>
      <c r="AJ16" s="14">
        <v>100.88491650200805</v>
      </c>
      <c r="AK16" s="8">
        <f t="shared" si="3"/>
        <v>100</v>
      </c>
      <c r="AL16" s="22">
        <f t="shared" si="4"/>
        <v>5.6666666666666671E-2</v>
      </c>
      <c r="AM16" s="21">
        <v>18</v>
      </c>
    </row>
    <row r="17" spans="1:39" x14ac:dyDescent="0.3">
      <c r="A17" s="39" t="s">
        <v>33</v>
      </c>
      <c r="B17" s="39">
        <v>100</v>
      </c>
      <c r="E17" s="21">
        <v>17</v>
      </c>
      <c r="F17" s="22">
        <f t="shared" si="1"/>
        <v>5.3333333333333337E-2</v>
      </c>
      <c r="G17" s="8">
        <v>300</v>
      </c>
      <c r="H17" s="14">
        <v>287.48305869322945</v>
      </c>
      <c r="I17" s="14">
        <v>275.03134164268283</v>
      </c>
      <c r="J17" s="14">
        <v>262.70930892847241</v>
      </c>
      <c r="K17" s="14">
        <v>250.57990284577284</v>
      </c>
      <c r="L17" s="14">
        <v>238.70381521606535</v>
      </c>
      <c r="M17" s="14">
        <v>227.13878554918446</v>
      </c>
      <c r="N17" s="14">
        <v>215.93893937085247</v>
      </c>
      <c r="O17" s="14">
        <v>205.15417523997971</v>
      </c>
      <c r="P17" s="14">
        <v>194.82960804004333</v>
      </c>
      <c r="Q17" s="14">
        <v>185.00507506829382</v>
      </c>
      <c r="R17" s="14">
        <v>175.71471029723745</v>
      </c>
      <c r="S17" s="14">
        <v>166.98659097827704</v>
      </c>
      <c r="T17" s="14">
        <v>158.84245953128251</v>
      </c>
      <c r="U17" s="14">
        <v>151.29752244885276</v>
      </c>
      <c r="V17" s="14">
        <v>144.36032677049798</v>
      </c>
      <c r="W17" s="14">
        <v>138.03271357689403</v>
      </c>
      <c r="X17" s="14">
        <v>132.30984694049516</v>
      </c>
      <c r="Y17" s="14">
        <v>127.18031586394318</v>
      </c>
      <c r="Z17" s="14">
        <v>122.6263059543837</v>
      </c>
      <c r="AA17" s="14">
        <v>118.62383692695921</v>
      </c>
      <c r="AB17" s="14">
        <v>115.14306150596818</v>
      </c>
      <c r="AC17" s="14">
        <v>112.14862089390013</v>
      </c>
      <c r="AD17" s="14">
        <v>109.60005169863207</v>
      </c>
      <c r="AE17" s="14">
        <v>107.45223903544314</v>
      </c>
      <c r="AF17" s="14">
        <v>105.65591043802334</v>
      </c>
      <c r="AG17" s="14">
        <v>104.15816520399025</v>
      </c>
      <c r="AH17" s="14">
        <v>102.90303384703935</v>
      </c>
      <c r="AI17" s="14">
        <v>101.83206241093711</v>
      </c>
      <c r="AJ17" s="14">
        <v>100.88491650200805</v>
      </c>
      <c r="AK17" s="8">
        <f t="shared" si="3"/>
        <v>100</v>
      </c>
      <c r="AL17" s="22">
        <f t="shared" si="4"/>
        <v>5.3333333333333337E-2</v>
      </c>
      <c r="AM17" s="21">
        <v>17</v>
      </c>
    </row>
    <row r="18" spans="1:39" x14ac:dyDescent="0.3">
      <c r="A18" s="7"/>
      <c r="B18" s="7"/>
      <c r="E18" s="21">
        <v>16</v>
      </c>
      <c r="F18" s="22">
        <f t="shared" si="1"/>
        <v>0.05</v>
      </c>
      <c r="G18" s="8">
        <v>300</v>
      </c>
      <c r="H18" s="14">
        <v>287.48305869322945</v>
      </c>
      <c r="I18" s="14">
        <v>275.03134164268278</v>
      </c>
      <c r="J18" s="14">
        <v>262.70930892847241</v>
      </c>
      <c r="K18" s="14">
        <v>250.57990284577284</v>
      </c>
      <c r="L18" s="14">
        <v>238.70381521606532</v>
      </c>
      <c r="M18" s="14">
        <v>227.13878554918446</v>
      </c>
      <c r="N18" s="14">
        <v>215.93893937085247</v>
      </c>
      <c r="O18" s="14">
        <v>205.15417523997971</v>
      </c>
      <c r="P18" s="14">
        <v>194.82960804004333</v>
      </c>
      <c r="Q18" s="14">
        <v>185.00507506829382</v>
      </c>
      <c r="R18" s="14">
        <v>175.71471029723745</v>
      </c>
      <c r="S18" s="14">
        <v>166.98659097827706</v>
      </c>
      <c r="T18" s="14">
        <v>158.84245953128251</v>
      </c>
      <c r="U18" s="14">
        <v>151.29752244885276</v>
      </c>
      <c r="V18" s="14">
        <v>144.36032677049798</v>
      </c>
      <c r="W18" s="14">
        <v>138.03271357689403</v>
      </c>
      <c r="X18" s="14">
        <v>132.30984694049516</v>
      </c>
      <c r="Y18" s="14">
        <v>127.18031586394319</v>
      </c>
      <c r="Z18" s="14">
        <v>122.6263059543837</v>
      </c>
      <c r="AA18" s="14">
        <v>118.62383692695923</v>
      </c>
      <c r="AB18" s="14">
        <v>115.14306150596818</v>
      </c>
      <c r="AC18" s="14">
        <v>112.14862089390013</v>
      </c>
      <c r="AD18" s="14">
        <v>109.60005169863206</v>
      </c>
      <c r="AE18" s="14">
        <v>107.45223903544314</v>
      </c>
      <c r="AF18" s="14">
        <v>105.65591043802334</v>
      </c>
      <c r="AG18" s="14">
        <v>104.15816520399025</v>
      </c>
      <c r="AH18" s="14">
        <v>102.90303384703935</v>
      </c>
      <c r="AI18" s="14">
        <v>101.83206241093711</v>
      </c>
      <c r="AJ18" s="14">
        <v>100.88491650200805</v>
      </c>
      <c r="AK18" s="8">
        <f t="shared" si="3"/>
        <v>100</v>
      </c>
      <c r="AL18" s="22">
        <f t="shared" si="4"/>
        <v>0.05</v>
      </c>
      <c r="AM18" s="21">
        <v>16</v>
      </c>
    </row>
    <row r="19" spans="1:39" x14ac:dyDescent="0.3">
      <c r="A19" s="49" t="s">
        <v>28</v>
      </c>
      <c r="B19" s="49"/>
      <c r="E19" s="21">
        <v>15</v>
      </c>
      <c r="F19" s="22">
        <f t="shared" si="1"/>
        <v>4.6666666666666669E-2</v>
      </c>
      <c r="G19" s="8">
        <f t="shared" si="2"/>
        <v>300</v>
      </c>
      <c r="H19" s="14">
        <v>287.48305869322951</v>
      </c>
      <c r="I19" s="14">
        <v>275.03134164268283</v>
      </c>
      <c r="J19" s="14">
        <v>262.70930892847241</v>
      </c>
      <c r="K19" s="14">
        <v>250.57990284577284</v>
      </c>
      <c r="L19" s="14">
        <v>238.70381521606535</v>
      </c>
      <c r="M19" s="14">
        <v>227.13878554918449</v>
      </c>
      <c r="N19" s="14">
        <v>215.93893937085252</v>
      </c>
      <c r="O19" s="14">
        <v>205.15417523997974</v>
      </c>
      <c r="P19" s="14">
        <v>194.82960804004338</v>
      </c>
      <c r="Q19" s="14">
        <v>185.00507506829388</v>
      </c>
      <c r="R19" s="14">
        <v>175.7147102972375</v>
      </c>
      <c r="S19" s="14">
        <v>166.98659097827712</v>
      </c>
      <c r="T19" s="14">
        <v>158.84245953128254</v>
      </c>
      <c r="U19" s="14">
        <v>151.29752244885279</v>
      </c>
      <c r="V19" s="14">
        <v>144.36032677049801</v>
      </c>
      <c r="W19" s="14">
        <v>138.03271357689408</v>
      </c>
      <c r="X19" s="14">
        <v>132.30984694049522</v>
      </c>
      <c r="Y19" s="14">
        <v>127.18031586394321</v>
      </c>
      <c r="Z19" s="14">
        <v>122.62630595438372</v>
      </c>
      <c r="AA19" s="14">
        <v>118.62383692695924</v>
      </c>
      <c r="AB19" s="14">
        <v>115.14306150596819</v>
      </c>
      <c r="AC19" s="14">
        <v>112.14862089390013</v>
      </c>
      <c r="AD19" s="14">
        <v>109.60005169863209</v>
      </c>
      <c r="AE19" s="14">
        <v>107.45223903544317</v>
      </c>
      <c r="AF19" s="14">
        <v>105.65591043802337</v>
      </c>
      <c r="AG19" s="14">
        <v>104.15816520399027</v>
      </c>
      <c r="AH19" s="14">
        <v>102.90303384703938</v>
      </c>
      <c r="AI19" s="14">
        <v>101.83206241093713</v>
      </c>
      <c r="AJ19" s="14">
        <v>100.88491650200805</v>
      </c>
      <c r="AK19" s="8">
        <f t="shared" si="3"/>
        <v>100</v>
      </c>
      <c r="AL19" s="22">
        <f t="shared" si="4"/>
        <v>4.6666666666666669E-2</v>
      </c>
      <c r="AM19" s="21">
        <v>15</v>
      </c>
    </row>
    <row r="20" spans="1:39" x14ac:dyDescent="0.3">
      <c r="A20" s="40" t="s">
        <v>17</v>
      </c>
      <c r="B20" s="41">
        <f>B13/(B5^2)</f>
        <v>4139999.9999999991</v>
      </c>
      <c r="E20" s="21">
        <v>14</v>
      </c>
      <c r="F20" s="22">
        <f t="shared" si="1"/>
        <v>4.3333333333333335E-2</v>
      </c>
      <c r="G20" s="8">
        <f t="shared" si="2"/>
        <v>300</v>
      </c>
      <c r="H20" s="14">
        <v>287.48305869322951</v>
      </c>
      <c r="I20" s="14">
        <v>275.03134164268283</v>
      </c>
      <c r="J20" s="14">
        <v>262.70930892847241</v>
      </c>
      <c r="K20" s="14">
        <v>250.57990284577284</v>
      </c>
      <c r="L20" s="14">
        <v>238.70381521606538</v>
      </c>
      <c r="M20" s="14">
        <v>227.13878554918452</v>
      </c>
      <c r="N20" s="14">
        <v>215.93893937085255</v>
      </c>
      <c r="O20" s="14">
        <v>205.15417523997974</v>
      </c>
      <c r="P20" s="14">
        <v>194.82960804004341</v>
      </c>
      <c r="Q20" s="14">
        <v>185.00507506829393</v>
      </c>
      <c r="R20" s="14">
        <v>175.71471029723756</v>
      </c>
      <c r="S20" s="14">
        <v>166.98659097827715</v>
      </c>
      <c r="T20" s="14">
        <v>158.8424595312826</v>
      </c>
      <c r="U20" s="14">
        <v>151.29752244885282</v>
      </c>
      <c r="V20" s="14">
        <v>144.36032677049803</v>
      </c>
      <c r="W20" s="14">
        <v>138.03271357689411</v>
      </c>
      <c r="X20" s="14">
        <v>132.30984694049522</v>
      </c>
      <c r="Y20" s="14">
        <v>127.18031586394324</v>
      </c>
      <c r="Z20" s="14">
        <v>122.62630595438372</v>
      </c>
      <c r="AA20" s="14">
        <v>118.62383692695927</v>
      </c>
      <c r="AB20" s="14">
        <v>115.14306150596821</v>
      </c>
      <c r="AC20" s="14">
        <v>112.14862089390016</v>
      </c>
      <c r="AD20" s="14">
        <v>109.60005169863211</v>
      </c>
      <c r="AE20" s="14">
        <v>107.45223903544318</v>
      </c>
      <c r="AF20" s="14">
        <v>105.6559104380234</v>
      </c>
      <c r="AG20" s="14">
        <v>104.15816520399028</v>
      </c>
      <c r="AH20" s="14">
        <v>102.90303384703938</v>
      </c>
      <c r="AI20" s="14">
        <v>101.83206241093713</v>
      </c>
      <c r="AJ20" s="14">
        <v>100.88491650200805</v>
      </c>
      <c r="AK20" s="8">
        <f t="shared" si="3"/>
        <v>100</v>
      </c>
      <c r="AL20" s="22">
        <f t="shared" si="4"/>
        <v>4.3333333333333335E-2</v>
      </c>
      <c r="AM20" s="21">
        <v>14</v>
      </c>
    </row>
    <row r="21" spans="1:39" x14ac:dyDescent="0.3">
      <c r="A21" s="40" t="s">
        <v>18</v>
      </c>
      <c r="B21" s="41">
        <f>(2*B13)/(B5^2)+(B12*B11)/B8</f>
        <v>11867999.999999998</v>
      </c>
      <c r="E21" s="21">
        <v>13</v>
      </c>
      <c r="F21" s="22">
        <f t="shared" si="1"/>
        <v>0.04</v>
      </c>
      <c r="G21" s="8">
        <f t="shared" si="2"/>
        <v>300</v>
      </c>
      <c r="H21" s="14">
        <v>287.48305869322951</v>
      </c>
      <c r="I21" s="14">
        <v>275.03134164268289</v>
      </c>
      <c r="J21" s="14">
        <v>262.70930892847247</v>
      </c>
      <c r="K21" s="14">
        <v>250.57990284577289</v>
      </c>
      <c r="L21" s="14">
        <v>238.70381521606544</v>
      </c>
      <c r="M21" s="14">
        <v>227.13878554918455</v>
      </c>
      <c r="N21" s="14">
        <v>215.93893937085255</v>
      </c>
      <c r="O21" s="14">
        <v>205.15417523997976</v>
      </c>
      <c r="P21" s="14">
        <v>194.82960804004341</v>
      </c>
      <c r="Q21" s="14">
        <v>185.00507506829399</v>
      </c>
      <c r="R21" s="14">
        <v>175.71471029723756</v>
      </c>
      <c r="S21" s="14">
        <v>166.98659097827715</v>
      </c>
      <c r="T21" s="14">
        <v>158.8424595312826</v>
      </c>
      <c r="U21" s="14">
        <v>151.29752244885285</v>
      </c>
      <c r="V21" s="14">
        <v>144.36032677049803</v>
      </c>
      <c r="W21" s="14">
        <v>138.03271357689411</v>
      </c>
      <c r="X21" s="14">
        <v>132.30984694049525</v>
      </c>
      <c r="Y21" s="14">
        <v>127.18031586394324</v>
      </c>
      <c r="Z21" s="14">
        <v>122.62630595438375</v>
      </c>
      <c r="AA21" s="14">
        <v>118.62383692695929</v>
      </c>
      <c r="AB21" s="14">
        <v>115.14306150596823</v>
      </c>
      <c r="AC21" s="14">
        <v>112.14862089390019</v>
      </c>
      <c r="AD21" s="14">
        <v>109.60005169863211</v>
      </c>
      <c r="AE21" s="14">
        <v>107.4522390354432</v>
      </c>
      <c r="AF21" s="14">
        <v>105.6559104380234</v>
      </c>
      <c r="AG21" s="14">
        <v>104.15816520399029</v>
      </c>
      <c r="AH21" s="14">
        <v>102.9030338470394</v>
      </c>
      <c r="AI21" s="14">
        <v>101.83206241093714</v>
      </c>
      <c r="AJ21" s="14">
        <v>100.88491650200805</v>
      </c>
      <c r="AK21" s="8">
        <f t="shared" si="3"/>
        <v>100</v>
      </c>
      <c r="AL21" s="22">
        <f t="shared" si="4"/>
        <v>0.04</v>
      </c>
      <c r="AM21" s="21">
        <v>13</v>
      </c>
    </row>
    <row r="22" spans="1:39" x14ac:dyDescent="0.3">
      <c r="A22" s="40" t="s">
        <v>19</v>
      </c>
      <c r="B22" s="41">
        <f>B20</f>
        <v>4139999.9999999991</v>
      </c>
      <c r="E22" s="21">
        <v>12</v>
      </c>
      <c r="F22" s="22">
        <f t="shared" si="1"/>
        <v>3.6666666666666667E-2</v>
      </c>
      <c r="G22" s="8">
        <f t="shared" si="2"/>
        <v>300</v>
      </c>
      <c r="H22" s="14">
        <v>287.48305869322951</v>
      </c>
      <c r="I22" s="14">
        <v>275.03134164268289</v>
      </c>
      <c r="J22" s="14">
        <v>262.70930892847252</v>
      </c>
      <c r="K22" s="14">
        <v>250.57990284577289</v>
      </c>
      <c r="L22" s="14">
        <v>238.70381521606546</v>
      </c>
      <c r="M22" s="14">
        <v>227.1387855491846</v>
      </c>
      <c r="N22" s="14">
        <v>215.93893937085261</v>
      </c>
      <c r="O22" s="14">
        <v>205.15417523997979</v>
      </c>
      <c r="P22" s="14">
        <v>194.82960804004341</v>
      </c>
      <c r="Q22" s="14">
        <v>185.00507506829399</v>
      </c>
      <c r="R22" s="14">
        <v>175.71471029723756</v>
      </c>
      <c r="S22" s="14">
        <v>166.98659097827715</v>
      </c>
      <c r="T22" s="14">
        <v>158.8424595312826</v>
      </c>
      <c r="U22" s="14">
        <v>151.29752244885287</v>
      </c>
      <c r="V22" s="14">
        <v>144.36032677049803</v>
      </c>
      <c r="W22" s="14">
        <v>138.03271357689411</v>
      </c>
      <c r="X22" s="14">
        <v>132.30984694049528</v>
      </c>
      <c r="Y22" s="14">
        <v>127.18031586394324</v>
      </c>
      <c r="Z22" s="14">
        <v>122.62630595438375</v>
      </c>
      <c r="AA22" s="14">
        <v>118.62383692695929</v>
      </c>
      <c r="AB22" s="14">
        <v>115.14306150596825</v>
      </c>
      <c r="AC22" s="14">
        <v>112.1486208939002</v>
      </c>
      <c r="AD22" s="14">
        <v>109.60005169863213</v>
      </c>
      <c r="AE22" s="14">
        <v>107.45223903544321</v>
      </c>
      <c r="AF22" s="14">
        <v>105.6559104380234</v>
      </c>
      <c r="AG22" s="14">
        <v>104.15816520399031</v>
      </c>
      <c r="AH22" s="14">
        <v>102.90303384703941</v>
      </c>
      <c r="AI22" s="14">
        <v>101.83206241093714</v>
      </c>
      <c r="AJ22" s="14">
        <v>100.88491650200805</v>
      </c>
      <c r="AK22" s="8">
        <f t="shared" si="3"/>
        <v>100</v>
      </c>
      <c r="AL22" s="22">
        <f t="shared" si="4"/>
        <v>3.6666666666666667E-2</v>
      </c>
      <c r="AM22" s="21">
        <v>12</v>
      </c>
    </row>
    <row r="23" spans="1:39" x14ac:dyDescent="0.3">
      <c r="A23" s="7"/>
      <c r="B23" s="7"/>
      <c r="E23" s="21">
        <v>11</v>
      </c>
      <c r="F23" s="22">
        <f t="shared" si="1"/>
        <v>3.3333333333333333E-2</v>
      </c>
      <c r="G23" s="8">
        <f t="shared" si="2"/>
        <v>300</v>
      </c>
      <c r="H23" s="14">
        <v>287.48305869322951</v>
      </c>
      <c r="I23" s="14">
        <v>275.03134164268289</v>
      </c>
      <c r="J23" s="14">
        <v>262.70930892847252</v>
      </c>
      <c r="K23" s="14">
        <v>250.57990284577289</v>
      </c>
      <c r="L23" s="14">
        <v>238.70381521606546</v>
      </c>
      <c r="M23" s="14">
        <v>227.1387855491846</v>
      </c>
      <c r="N23" s="14">
        <v>215.93893937085261</v>
      </c>
      <c r="O23" s="14">
        <v>205.15417523997979</v>
      </c>
      <c r="P23" s="14">
        <v>194.82960804004341</v>
      </c>
      <c r="Q23" s="14">
        <v>185.00507506829399</v>
      </c>
      <c r="R23" s="14">
        <v>175.71471029723756</v>
      </c>
      <c r="S23" s="14">
        <v>166.98659097827715</v>
      </c>
      <c r="T23" s="14">
        <v>158.8424595312826</v>
      </c>
      <c r="U23" s="14">
        <v>151.29752244885287</v>
      </c>
      <c r="V23" s="14">
        <v>144.36032677049803</v>
      </c>
      <c r="W23" s="14">
        <v>138.03271357689414</v>
      </c>
      <c r="X23" s="14">
        <v>132.30984694049528</v>
      </c>
      <c r="Y23" s="14">
        <v>127.18031586394324</v>
      </c>
      <c r="Z23" s="14">
        <v>122.62630595438375</v>
      </c>
      <c r="AA23" s="14">
        <v>118.62383692695929</v>
      </c>
      <c r="AB23" s="14">
        <v>115.14306150596825</v>
      </c>
      <c r="AC23" s="14">
        <v>112.1486208939002</v>
      </c>
      <c r="AD23" s="14">
        <v>109.60005169863213</v>
      </c>
      <c r="AE23" s="14">
        <v>107.45223903544321</v>
      </c>
      <c r="AF23" s="14">
        <v>105.6559104380234</v>
      </c>
      <c r="AG23" s="14">
        <v>104.15816520399031</v>
      </c>
      <c r="AH23" s="14">
        <v>102.90303384703941</v>
      </c>
      <c r="AI23" s="14">
        <v>101.83206241093714</v>
      </c>
      <c r="AJ23" s="14">
        <v>100.88491650200805</v>
      </c>
      <c r="AK23" s="8">
        <f t="shared" si="3"/>
        <v>100</v>
      </c>
      <c r="AL23" s="22">
        <f t="shared" si="4"/>
        <v>3.3333333333333333E-2</v>
      </c>
      <c r="AM23" s="21">
        <v>11</v>
      </c>
    </row>
    <row r="24" spans="1:39" x14ac:dyDescent="0.3">
      <c r="A24" s="48" t="s">
        <v>29</v>
      </c>
      <c r="B24" s="48"/>
      <c r="E24" s="21">
        <v>10</v>
      </c>
      <c r="F24" s="22">
        <f t="shared" si="1"/>
        <v>3.0000000000000002E-2</v>
      </c>
      <c r="G24" s="8">
        <f t="shared" si="2"/>
        <v>300</v>
      </c>
      <c r="H24" s="14">
        <v>287.48305869322951</v>
      </c>
      <c r="I24" s="14">
        <v>275.03134164268289</v>
      </c>
      <c r="J24" s="14">
        <v>262.70930892847252</v>
      </c>
      <c r="K24" s="14">
        <v>250.57990284577295</v>
      </c>
      <c r="L24" s="14">
        <v>238.70381521606546</v>
      </c>
      <c r="M24" s="14">
        <v>227.1387855491846</v>
      </c>
      <c r="N24" s="14">
        <v>215.93893937085261</v>
      </c>
      <c r="O24" s="14">
        <v>205.15417523997979</v>
      </c>
      <c r="P24" s="14">
        <v>194.82960804004344</v>
      </c>
      <c r="Q24" s="14">
        <v>185.00507506829399</v>
      </c>
      <c r="R24" s="14">
        <v>175.71471029723756</v>
      </c>
      <c r="S24" s="14">
        <v>166.98659097827715</v>
      </c>
      <c r="T24" s="14">
        <v>158.8424595312826</v>
      </c>
      <c r="U24" s="14">
        <v>151.2975224488529</v>
      </c>
      <c r="V24" s="14">
        <v>144.36032677049803</v>
      </c>
      <c r="W24" s="14">
        <v>138.03271357689414</v>
      </c>
      <c r="X24" s="14">
        <v>132.30984694049528</v>
      </c>
      <c r="Y24" s="14">
        <v>127.18031586394325</v>
      </c>
      <c r="Z24" s="14">
        <v>122.62630595438375</v>
      </c>
      <c r="AA24" s="14">
        <v>118.62383692695929</v>
      </c>
      <c r="AB24" s="14">
        <v>115.14306150596825</v>
      </c>
      <c r="AC24" s="14">
        <v>112.14862089390022</v>
      </c>
      <c r="AD24" s="14">
        <v>109.60005169863214</v>
      </c>
      <c r="AE24" s="14">
        <v>107.45223903544323</v>
      </c>
      <c r="AF24" s="14">
        <v>105.6559104380234</v>
      </c>
      <c r="AG24" s="14">
        <v>104.15816520399032</v>
      </c>
      <c r="AH24" s="14">
        <v>102.90303384703941</v>
      </c>
      <c r="AI24" s="14">
        <v>101.83206241093714</v>
      </c>
      <c r="AJ24" s="14">
        <v>100.88491650200805</v>
      </c>
      <c r="AK24" s="8">
        <f t="shared" si="3"/>
        <v>100</v>
      </c>
      <c r="AL24" s="22">
        <f t="shared" si="4"/>
        <v>3.0000000000000002E-2</v>
      </c>
      <c r="AM24" s="21">
        <v>10</v>
      </c>
    </row>
    <row r="25" spans="1:39" x14ac:dyDescent="0.3">
      <c r="A25" s="42" t="s">
        <v>17</v>
      </c>
      <c r="B25" s="42">
        <f>B13/(B6^2)</f>
        <v>4139999.9999999991</v>
      </c>
      <c r="E25" s="21">
        <v>9</v>
      </c>
      <c r="F25" s="22">
        <f t="shared" si="1"/>
        <v>2.6666666666666668E-2</v>
      </c>
      <c r="G25" s="8">
        <f t="shared" si="2"/>
        <v>300</v>
      </c>
      <c r="H25" s="14">
        <v>287.48305869322951</v>
      </c>
      <c r="I25" s="14">
        <v>275.03134164268295</v>
      </c>
      <c r="J25" s="14">
        <v>262.70930892847252</v>
      </c>
      <c r="K25" s="14">
        <v>250.57990284577295</v>
      </c>
      <c r="L25" s="14">
        <v>238.70381521606549</v>
      </c>
      <c r="M25" s="14">
        <v>227.1387855491846</v>
      </c>
      <c r="N25" s="14">
        <v>215.93893937085264</v>
      </c>
      <c r="O25" s="14">
        <v>205.15417523997982</v>
      </c>
      <c r="P25" s="14">
        <v>194.82960804004347</v>
      </c>
      <c r="Q25" s="14">
        <v>185.00507506829402</v>
      </c>
      <c r="R25" s="14">
        <v>175.71471029723756</v>
      </c>
      <c r="S25" s="14">
        <v>166.98659097827718</v>
      </c>
      <c r="T25" s="14">
        <v>158.8424595312826</v>
      </c>
      <c r="U25" s="14">
        <v>151.2975224488529</v>
      </c>
      <c r="V25" s="14">
        <v>144.36032677049803</v>
      </c>
      <c r="W25" s="14">
        <v>138.03271357689414</v>
      </c>
      <c r="X25" s="14">
        <v>132.30984694049528</v>
      </c>
      <c r="Y25" s="14">
        <v>127.18031586394326</v>
      </c>
      <c r="Z25" s="14">
        <v>122.62630595438375</v>
      </c>
      <c r="AA25" s="14">
        <v>118.6238369269593</v>
      </c>
      <c r="AB25" s="14">
        <v>115.14306150596826</v>
      </c>
      <c r="AC25" s="14">
        <v>112.14862089390022</v>
      </c>
      <c r="AD25" s="14">
        <v>109.60005169863216</v>
      </c>
      <c r="AE25" s="14">
        <v>107.45223903544324</v>
      </c>
      <c r="AF25" s="14">
        <v>105.6559104380234</v>
      </c>
      <c r="AG25" s="14">
        <v>104.15816520399032</v>
      </c>
      <c r="AH25" s="14">
        <v>102.90303384703942</v>
      </c>
      <c r="AI25" s="14">
        <v>101.83206241093714</v>
      </c>
      <c r="AJ25" s="14">
        <v>100.88491650200808</v>
      </c>
      <c r="AK25" s="8">
        <f t="shared" si="3"/>
        <v>100</v>
      </c>
      <c r="AL25" s="22">
        <f t="shared" si="4"/>
        <v>2.6666666666666668E-2</v>
      </c>
      <c r="AM25" s="21">
        <v>9</v>
      </c>
    </row>
    <row r="26" spans="1:39" x14ac:dyDescent="0.3">
      <c r="A26" s="42" t="s">
        <v>18</v>
      </c>
      <c r="B26" s="42">
        <f>(2*B13)/(B6^2)+(B12*B11)/B8</f>
        <v>11867999.999999998</v>
      </c>
      <c r="E26" s="21">
        <v>8</v>
      </c>
      <c r="F26" s="22">
        <f t="shared" si="1"/>
        <v>2.3333333333333334E-2</v>
      </c>
      <c r="G26" s="8">
        <f t="shared" si="2"/>
        <v>300</v>
      </c>
      <c r="H26" s="14">
        <v>287.48305869322957</v>
      </c>
      <c r="I26" s="14">
        <v>275.03134164268295</v>
      </c>
      <c r="J26" s="14">
        <v>262.70930892847258</v>
      </c>
      <c r="K26" s="14">
        <v>250.57990284577295</v>
      </c>
      <c r="L26" s="14">
        <v>238.70381521606549</v>
      </c>
      <c r="M26" s="14">
        <v>227.1387855491846</v>
      </c>
      <c r="N26" s="14">
        <v>215.93893937085267</v>
      </c>
      <c r="O26" s="14">
        <v>205.15417523997985</v>
      </c>
      <c r="P26" s="14">
        <v>194.8296080400435</v>
      </c>
      <c r="Q26" s="14">
        <v>185.00507506829402</v>
      </c>
      <c r="R26" s="14">
        <v>175.71471029723759</v>
      </c>
      <c r="S26" s="14">
        <v>166.98659097827718</v>
      </c>
      <c r="T26" s="14">
        <v>158.8424595312826</v>
      </c>
      <c r="U26" s="14">
        <v>151.2975224488529</v>
      </c>
      <c r="V26" s="14">
        <v>144.36032677049803</v>
      </c>
      <c r="W26" s="14">
        <v>138.03271357689417</v>
      </c>
      <c r="X26" s="14">
        <v>132.30984694049528</v>
      </c>
      <c r="Y26" s="14">
        <v>127.18031586394326</v>
      </c>
      <c r="Z26" s="14">
        <v>122.62630595438377</v>
      </c>
      <c r="AA26" s="14">
        <v>118.6238369269593</v>
      </c>
      <c r="AB26" s="14">
        <v>115.14306150596828</v>
      </c>
      <c r="AC26" s="14">
        <v>112.14862089390022</v>
      </c>
      <c r="AD26" s="14">
        <v>109.60005169863217</v>
      </c>
      <c r="AE26" s="14">
        <v>107.45223903544326</v>
      </c>
      <c r="AF26" s="14">
        <v>105.65591043802343</v>
      </c>
      <c r="AG26" s="14">
        <v>104.15816520399034</v>
      </c>
      <c r="AH26" s="14">
        <v>102.90303384703944</v>
      </c>
      <c r="AI26" s="14">
        <v>101.83206241093714</v>
      </c>
      <c r="AJ26" s="14">
        <v>100.88491650200808</v>
      </c>
      <c r="AK26" s="8">
        <f t="shared" si="3"/>
        <v>100</v>
      </c>
      <c r="AL26" s="22">
        <f t="shared" si="4"/>
        <v>2.3333333333333334E-2</v>
      </c>
      <c r="AM26" s="21">
        <v>8</v>
      </c>
    </row>
    <row r="27" spans="1:39" x14ac:dyDescent="0.3">
      <c r="A27" s="42" t="s">
        <v>19</v>
      </c>
      <c r="B27" s="42">
        <f>B25</f>
        <v>4139999.9999999991</v>
      </c>
      <c r="E27" s="21">
        <v>7</v>
      </c>
      <c r="F27" s="22">
        <f t="shared" si="1"/>
        <v>0.02</v>
      </c>
      <c r="G27" s="8">
        <f t="shared" si="2"/>
        <v>300</v>
      </c>
      <c r="H27" s="14">
        <v>287.48305869322951</v>
      </c>
      <c r="I27" s="14">
        <v>275.03134164268289</v>
      </c>
      <c r="J27" s="14">
        <v>262.70930892847258</v>
      </c>
      <c r="K27" s="14">
        <v>250.57990284577295</v>
      </c>
      <c r="L27" s="14">
        <v>238.70381521606549</v>
      </c>
      <c r="M27" s="14">
        <v>227.1387855491846</v>
      </c>
      <c r="N27" s="14">
        <v>215.93893937085267</v>
      </c>
      <c r="O27" s="14">
        <v>205.15417523997985</v>
      </c>
      <c r="P27" s="14">
        <v>194.82960804004352</v>
      </c>
      <c r="Q27" s="14">
        <v>185.00507506829399</v>
      </c>
      <c r="R27" s="14">
        <v>175.71471029723759</v>
      </c>
      <c r="S27" s="14">
        <v>166.98659097827718</v>
      </c>
      <c r="T27" s="14">
        <v>158.84245953128263</v>
      </c>
      <c r="U27" s="14">
        <v>151.2975224488529</v>
      </c>
      <c r="V27" s="14">
        <v>144.36032677049803</v>
      </c>
      <c r="W27" s="14">
        <v>138.03271357689414</v>
      </c>
      <c r="X27" s="14">
        <v>132.30984694049528</v>
      </c>
      <c r="Y27" s="14">
        <v>127.18031586394326</v>
      </c>
      <c r="Z27" s="14">
        <v>122.62630595438378</v>
      </c>
      <c r="AA27" s="14">
        <v>118.62383692695929</v>
      </c>
      <c r="AB27" s="14">
        <v>115.14306150596826</v>
      </c>
      <c r="AC27" s="14">
        <v>112.14862089390022</v>
      </c>
      <c r="AD27" s="14">
        <v>109.60005169863217</v>
      </c>
      <c r="AE27" s="14">
        <v>107.45223903544326</v>
      </c>
      <c r="AF27" s="14">
        <v>105.65591043802343</v>
      </c>
      <c r="AG27" s="14">
        <v>104.15816520399034</v>
      </c>
      <c r="AH27" s="14">
        <v>102.90303384703944</v>
      </c>
      <c r="AI27" s="14">
        <v>101.83206241093714</v>
      </c>
      <c r="AJ27" s="14">
        <v>100.88491650200808</v>
      </c>
      <c r="AK27" s="8">
        <f t="shared" si="3"/>
        <v>100</v>
      </c>
      <c r="AL27" s="22">
        <f t="shared" si="4"/>
        <v>0.02</v>
      </c>
      <c r="AM27" s="21">
        <v>7</v>
      </c>
    </row>
    <row r="28" spans="1:39" x14ac:dyDescent="0.3">
      <c r="E28" s="21">
        <v>6</v>
      </c>
      <c r="F28" s="22">
        <f t="shared" si="1"/>
        <v>1.6666666666666666E-2</v>
      </c>
      <c r="G28" s="8">
        <f t="shared" si="2"/>
        <v>300</v>
      </c>
      <c r="H28" s="14">
        <v>287.48305869322951</v>
      </c>
      <c r="I28" s="14">
        <v>275.03134164268283</v>
      </c>
      <c r="J28" s="14">
        <v>262.70930892847252</v>
      </c>
      <c r="K28" s="14">
        <v>250.57990284577292</v>
      </c>
      <c r="L28" s="14">
        <v>238.70381521606544</v>
      </c>
      <c r="M28" s="14">
        <v>227.1387855491846</v>
      </c>
      <c r="N28" s="14">
        <v>215.93893937085264</v>
      </c>
      <c r="O28" s="14">
        <v>205.15417523997982</v>
      </c>
      <c r="P28" s="14">
        <v>194.8296080400435</v>
      </c>
      <c r="Q28" s="14">
        <v>185.00507506829399</v>
      </c>
      <c r="R28" s="14">
        <v>175.71471029723759</v>
      </c>
      <c r="S28" s="14">
        <v>166.98659097827718</v>
      </c>
      <c r="T28" s="14">
        <v>158.84245953128263</v>
      </c>
      <c r="U28" s="14">
        <v>151.2975224488529</v>
      </c>
      <c r="V28" s="14">
        <v>144.36032677049803</v>
      </c>
      <c r="W28" s="14">
        <v>138.03271357689414</v>
      </c>
      <c r="X28" s="14">
        <v>132.30984694049528</v>
      </c>
      <c r="Y28" s="14">
        <v>127.18031586394326</v>
      </c>
      <c r="Z28" s="14">
        <v>122.62630595438377</v>
      </c>
      <c r="AA28" s="14">
        <v>118.62383692695929</v>
      </c>
      <c r="AB28" s="14">
        <v>115.14306150596826</v>
      </c>
      <c r="AC28" s="14">
        <v>112.14862089390022</v>
      </c>
      <c r="AD28" s="14">
        <v>109.60005169863216</v>
      </c>
      <c r="AE28" s="14">
        <v>107.45223903544326</v>
      </c>
      <c r="AF28" s="14">
        <v>105.65591043802341</v>
      </c>
      <c r="AG28" s="14">
        <v>104.15816520399034</v>
      </c>
      <c r="AH28" s="14">
        <v>102.90303384703944</v>
      </c>
      <c r="AI28" s="14">
        <v>101.83206241093714</v>
      </c>
      <c r="AJ28" s="14">
        <v>100.88491650200808</v>
      </c>
      <c r="AK28" s="8">
        <f t="shared" si="3"/>
        <v>100</v>
      </c>
      <c r="AL28" s="22">
        <f t="shared" si="4"/>
        <v>1.6666666666666666E-2</v>
      </c>
      <c r="AM28" s="21">
        <v>6</v>
      </c>
    </row>
    <row r="29" spans="1:39" x14ac:dyDescent="0.3">
      <c r="E29" s="21">
        <v>5</v>
      </c>
      <c r="F29" s="22">
        <f t="shared" si="1"/>
        <v>1.3333333333333334E-2</v>
      </c>
      <c r="G29" s="8">
        <f t="shared" si="2"/>
        <v>300</v>
      </c>
      <c r="H29" s="14">
        <v>287.48305869322951</v>
      </c>
      <c r="I29" s="14">
        <v>275.03134164268283</v>
      </c>
      <c r="J29" s="14">
        <v>262.70930892847252</v>
      </c>
      <c r="K29" s="14">
        <v>250.57990284577289</v>
      </c>
      <c r="L29" s="14">
        <v>238.70381521606544</v>
      </c>
      <c r="M29" s="14">
        <v>227.13878554918458</v>
      </c>
      <c r="N29" s="14">
        <v>215.93893937085261</v>
      </c>
      <c r="O29" s="14">
        <v>205.15417523997979</v>
      </c>
      <c r="P29" s="14">
        <v>194.82960804004347</v>
      </c>
      <c r="Q29" s="14">
        <v>185.00507506829399</v>
      </c>
      <c r="R29" s="14">
        <v>175.71471029723756</v>
      </c>
      <c r="S29" s="14">
        <v>166.98659097827715</v>
      </c>
      <c r="T29" s="14">
        <v>158.84245953128263</v>
      </c>
      <c r="U29" s="14">
        <v>151.2975224488529</v>
      </c>
      <c r="V29" s="14">
        <v>144.36032677049803</v>
      </c>
      <c r="W29" s="14">
        <v>138.03271357689414</v>
      </c>
      <c r="X29" s="14">
        <v>132.30984694049525</v>
      </c>
      <c r="Y29" s="14">
        <v>127.18031586394326</v>
      </c>
      <c r="Z29" s="14">
        <v>122.62630595438375</v>
      </c>
      <c r="AA29" s="14">
        <v>118.62383692695926</v>
      </c>
      <c r="AB29" s="14">
        <v>115.14306150596825</v>
      </c>
      <c r="AC29" s="14">
        <v>112.14862089390022</v>
      </c>
      <c r="AD29" s="14">
        <v>109.60005169863213</v>
      </c>
      <c r="AE29" s="14">
        <v>107.45223903544323</v>
      </c>
      <c r="AF29" s="14">
        <v>105.6559104380234</v>
      </c>
      <c r="AG29" s="14">
        <v>104.15816520399031</v>
      </c>
      <c r="AH29" s="14">
        <v>102.90303384703942</v>
      </c>
      <c r="AI29" s="14">
        <v>101.83206241093714</v>
      </c>
      <c r="AJ29" s="14">
        <v>100.88491650200808</v>
      </c>
      <c r="AK29" s="8">
        <f t="shared" si="3"/>
        <v>100</v>
      </c>
      <c r="AL29" s="22">
        <f t="shared" si="4"/>
        <v>1.3333333333333334E-2</v>
      </c>
      <c r="AM29" s="21">
        <v>5</v>
      </c>
    </row>
    <row r="30" spans="1:39" x14ac:dyDescent="0.3">
      <c r="E30" s="21">
        <v>4</v>
      </c>
      <c r="F30" s="22">
        <f t="shared" si="1"/>
        <v>0.01</v>
      </c>
      <c r="G30" s="8">
        <f t="shared" si="2"/>
        <v>300</v>
      </c>
      <c r="H30" s="14">
        <v>287.48305869322951</v>
      </c>
      <c r="I30" s="14">
        <v>275.03134164268278</v>
      </c>
      <c r="J30" s="14">
        <v>262.70930892847247</v>
      </c>
      <c r="K30" s="14">
        <v>250.57990284577286</v>
      </c>
      <c r="L30" s="14">
        <v>238.70381521606538</v>
      </c>
      <c r="M30" s="14">
        <v>227.13878554918452</v>
      </c>
      <c r="N30" s="14">
        <v>215.93893937085255</v>
      </c>
      <c r="O30" s="14">
        <v>205.15417523997974</v>
      </c>
      <c r="P30" s="14">
        <v>194.82960804004341</v>
      </c>
      <c r="Q30" s="14">
        <v>185.00507506829399</v>
      </c>
      <c r="R30" s="14">
        <v>175.71471029723753</v>
      </c>
      <c r="S30" s="14">
        <v>166.98659097827715</v>
      </c>
      <c r="T30" s="14">
        <v>158.8424595312826</v>
      </c>
      <c r="U30" s="14">
        <v>151.29752244885287</v>
      </c>
      <c r="V30" s="14">
        <v>144.36032677049803</v>
      </c>
      <c r="W30" s="14">
        <v>138.03271357689411</v>
      </c>
      <c r="X30" s="14">
        <v>132.30984694049522</v>
      </c>
      <c r="Y30" s="14">
        <v>127.18031586394322</v>
      </c>
      <c r="Z30" s="14">
        <v>122.62630595438374</v>
      </c>
      <c r="AA30" s="14">
        <v>118.62383692695924</v>
      </c>
      <c r="AB30" s="14">
        <v>115.14306150596823</v>
      </c>
      <c r="AC30" s="14">
        <v>112.14862089390019</v>
      </c>
      <c r="AD30" s="14">
        <v>109.6000516986321</v>
      </c>
      <c r="AE30" s="14">
        <v>107.4522390354432</v>
      </c>
      <c r="AF30" s="14">
        <v>105.65591043802337</v>
      </c>
      <c r="AG30" s="14">
        <v>104.15816520399028</v>
      </c>
      <c r="AH30" s="14">
        <v>102.9030338470394</v>
      </c>
      <c r="AI30" s="14">
        <v>101.83206241093711</v>
      </c>
      <c r="AJ30" s="14">
        <v>100.88491650200807</v>
      </c>
      <c r="AK30" s="8">
        <f t="shared" si="3"/>
        <v>100</v>
      </c>
      <c r="AL30" s="22">
        <f t="shared" si="4"/>
        <v>0.01</v>
      </c>
      <c r="AM30" s="21">
        <v>4</v>
      </c>
    </row>
    <row r="31" spans="1:39" x14ac:dyDescent="0.3">
      <c r="E31" s="21">
        <v>3</v>
      </c>
      <c r="F31" s="22">
        <f t="shared" si="1"/>
        <v>6.6666666666666671E-3</v>
      </c>
      <c r="G31" s="8">
        <f t="shared" si="2"/>
        <v>300</v>
      </c>
      <c r="H31" s="14">
        <v>287.48305869322951</v>
      </c>
      <c r="I31" s="14">
        <v>275.03134164268278</v>
      </c>
      <c r="J31" s="14">
        <v>262.70930892847241</v>
      </c>
      <c r="K31" s="14">
        <v>250.57990284577281</v>
      </c>
      <c r="L31" s="14">
        <v>238.70381521606532</v>
      </c>
      <c r="M31" s="14">
        <v>227.13878554918443</v>
      </c>
      <c r="N31" s="14">
        <v>215.93893937085249</v>
      </c>
      <c r="O31" s="14">
        <v>205.15417523997968</v>
      </c>
      <c r="P31" s="14">
        <v>194.82960804004335</v>
      </c>
      <c r="Q31" s="14">
        <v>185.00507506829393</v>
      </c>
      <c r="R31" s="14">
        <v>175.7147102972375</v>
      </c>
      <c r="S31" s="14">
        <v>166.98659097827715</v>
      </c>
      <c r="T31" s="14">
        <v>158.8424595312826</v>
      </c>
      <c r="U31" s="14">
        <v>151.29752244885287</v>
      </c>
      <c r="V31" s="14">
        <v>144.36032677049803</v>
      </c>
      <c r="W31" s="14">
        <v>138.03271357689411</v>
      </c>
      <c r="X31" s="14">
        <v>132.30984694049519</v>
      </c>
      <c r="Y31" s="14">
        <v>127.18031586394321</v>
      </c>
      <c r="Z31" s="14">
        <v>122.62630595438372</v>
      </c>
      <c r="AA31" s="14">
        <v>118.62383692695923</v>
      </c>
      <c r="AB31" s="14">
        <v>115.14306150596821</v>
      </c>
      <c r="AC31" s="14">
        <v>112.14862089390016</v>
      </c>
      <c r="AD31" s="14">
        <v>109.60005169863209</v>
      </c>
      <c r="AE31" s="14">
        <v>107.45223903544317</v>
      </c>
      <c r="AF31" s="14">
        <v>105.65591043802334</v>
      </c>
      <c r="AG31" s="14">
        <v>104.15816520399025</v>
      </c>
      <c r="AH31" s="14">
        <v>102.90303384703938</v>
      </c>
      <c r="AI31" s="14">
        <v>101.83206241093711</v>
      </c>
      <c r="AJ31" s="14">
        <v>100.88491650200805</v>
      </c>
      <c r="AK31" s="8">
        <f t="shared" si="3"/>
        <v>100</v>
      </c>
      <c r="AL31" s="22">
        <f t="shared" si="4"/>
        <v>6.6666666666666671E-3</v>
      </c>
      <c r="AM31" s="21">
        <v>3</v>
      </c>
    </row>
    <row r="32" spans="1:39" x14ac:dyDescent="0.3">
      <c r="E32" s="21">
        <v>2</v>
      </c>
      <c r="F32" s="22">
        <f>$B$6*(E32-1)</f>
        <v>3.3333333333333335E-3</v>
      </c>
      <c r="G32" s="8">
        <f t="shared" si="2"/>
        <v>300</v>
      </c>
      <c r="H32" s="14">
        <v>287.48305869322951</v>
      </c>
      <c r="I32" s="14">
        <v>275.03134164268278</v>
      </c>
      <c r="J32" s="14">
        <v>262.70930892847241</v>
      </c>
      <c r="K32" s="14">
        <v>250.57990284577278</v>
      </c>
      <c r="L32" s="14">
        <v>238.70381521606532</v>
      </c>
      <c r="M32" s="14">
        <v>227.13878554918443</v>
      </c>
      <c r="N32" s="14">
        <v>215.93893937085249</v>
      </c>
      <c r="O32" s="14">
        <v>205.15417523997968</v>
      </c>
      <c r="P32" s="14">
        <v>194.82960804004335</v>
      </c>
      <c r="Q32" s="14">
        <v>185.00507506829393</v>
      </c>
      <c r="R32" s="14">
        <v>175.7147102972375</v>
      </c>
      <c r="S32" s="14">
        <v>166.98659097827715</v>
      </c>
      <c r="T32" s="14">
        <v>158.8424595312826</v>
      </c>
      <c r="U32" s="14">
        <v>151.29752244885287</v>
      </c>
      <c r="V32" s="14">
        <v>144.36032677049803</v>
      </c>
      <c r="W32" s="14">
        <v>138.03271357689414</v>
      </c>
      <c r="X32" s="14">
        <v>132.30984694049522</v>
      </c>
      <c r="Y32" s="14">
        <v>127.18031586394321</v>
      </c>
      <c r="Z32" s="14">
        <v>122.62630595438372</v>
      </c>
      <c r="AA32" s="14">
        <v>118.62383692695923</v>
      </c>
      <c r="AB32" s="14">
        <v>115.14306150596819</v>
      </c>
      <c r="AC32" s="14">
        <v>112.14862089390016</v>
      </c>
      <c r="AD32" s="14">
        <v>109.60005169863209</v>
      </c>
      <c r="AE32" s="14">
        <v>107.45223903544317</v>
      </c>
      <c r="AF32" s="14">
        <v>105.65591043802334</v>
      </c>
      <c r="AG32" s="14">
        <v>104.15816520399025</v>
      </c>
      <c r="AH32" s="14">
        <v>102.90303384703938</v>
      </c>
      <c r="AI32" s="14">
        <v>101.83206241093711</v>
      </c>
      <c r="AJ32" s="14">
        <v>100.88491650200805</v>
      </c>
      <c r="AK32" s="8">
        <f t="shared" si="3"/>
        <v>100</v>
      </c>
      <c r="AL32" s="22">
        <f t="shared" si="4"/>
        <v>3.3333333333333335E-3</v>
      </c>
      <c r="AM32" s="21">
        <v>2</v>
      </c>
    </row>
    <row r="33" spans="5:138" x14ac:dyDescent="0.3">
      <c r="E33" s="21">
        <v>1</v>
      </c>
      <c r="F33" s="22">
        <v>0</v>
      </c>
      <c r="G33" s="8">
        <f t="shared" si="2"/>
        <v>300</v>
      </c>
      <c r="H33" s="14">
        <v>287.48305869322951</v>
      </c>
      <c r="I33" s="14">
        <v>275.03134164268278</v>
      </c>
      <c r="J33" s="14">
        <v>262.70930892847241</v>
      </c>
      <c r="K33" s="14">
        <v>250.57990284577278</v>
      </c>
      <c r="L33" s="14">
        <v>238.70381521606532</v>
      </c>
      <c r="M33" s="14">
        <v>227.13878554918443</v>
      </c>
      <c r="N33" s="14">
        <v>215.93893937085249</v>
      </c>
      <c r="O33" s="14">
        <v>205.15417523997968</v>
      </c>
      <c r="P33" s="14">
        <v>194.82960804004335</v>
      </c>
      <c r="Q33" s="14">
        <v>185.00507506829393</v>
      </c>
      <c r="R33" s="14">
        <v>175.7147102972375</v>
      </c>
      <c r="S33" s="14">
        <v>166.98659097827715</v>
      </c>
      <c r="T33" s="14">
        <v>158.8424595312826</v>
      </c>
      <c r="U33" s="14">
        <v>151.29752244885287</v>
      </c>
      <c r="V33" s="14">
        <v>144.36032677049803</v>
      </c>
      <c r="W33" s="14">
        <v>138.03271357689414</v>
      </c>
      <c r="X33" s="14">
        <v>132.30984694049522</v>
      </c>
      <c r="Y33" s="14">
        <v>127.18031586394321</v>
      </c>
      <c r="Z33" s="14">
        <v>122.62630595438372</v>
      </c>
      <c r="AA33" s="14">
        <v>118.62383692695923</v>
      </c>
      <c r="AB33" s="14">
        <v>115.14306150596819</v>
      </c>
      <c r="AC33" s="14">
        <v>112.14862089390016</v>
      </c>
      <c r="AD33" s="14">
        <v>109.60005169863209</v>
      </c>
      <c r="AE33" s="14">
        <v>107.45223903544317</v>
      </c>
      <c r="AF33" s="14">
        <v>105.65591043802334</v>
      </c>
      <c r="AG33" s="14">
        <v>104.15816520399025</v>
      </c>
      <c r="AH33" s="14">
        <v>102.90303384703938</v>
      </c>
      <c r="AI33" s="14">
        <v>101.83206241093711</v>
      </c>
      <c r="AJ33" s="14">
        <v>100.88491650200805</v>
      </c>
      <c r="AK33" s="8">
        <f t="shared" si="3"/>
        <v>100</v>
      </c>
      <c r="AL33" s="22">
        <f t="shared" si="4"/>
        <v>0</v>
      </c>
      <c r="AM33" s="21">
        <v>1</v>
      </c>
    </row>
    <row r="34" spans="5:138" x14ac:dyDescent="0.3">
      <c r="E34" s="23"/>
      <c r="F34" s="24"/>
      <c r="G34" s="21">
        <v>0</v>
      </c>
      <c r="H34" s="22">
        <f>$B$5*(H35-1)</f>
        <v>3.3333333333333335E-3</v>
      </c>
      <c r="I34" s="22">
        <f t="shared" ref="I34:AK34" si="5">$B$5*(I35-1)</f>
        <v>6.6666666666666671E-3</v>
      </c>
      <c r="J34" s="22">
        <f t="shared" si="5"/>
        <v>0.01</v>
      </c>
      <c r="K34" s="22">
        <f t="shared" si="5"/>
        <v>1.3333333333333334E-2</v>
      </c>
      <c r="L34" s="22">
        <f t="shared" si="5"/>
        <v>1.6666666666666666E-2</v>
      </c>
      <c r="M34" s="22">
        <f t="shared" si="5"/>
        <v>0.02</v>
      </c>
      <c r="N34" s="22">
        <f t="shared" si="5"/>
        <v>2.3333333333333334E-2</v>
      </c>
      <c r="O34" s="22">
        <f t="shared" si="5"/>
        <v>2.6666666666666668E-2</v>
      </c>
      <c r="P34" s="22">
        <f t="shared" si="5"/>
        <v>3.0000000000000002E-2</v>
      </c>
      <c r="Q34" s="22">
        <f t="shared" si="5"/>
        <v>3.3333333333333333E-2</v>
      </c>
      <c r="R34" s="22">
        <f t="shared" si="5"/>
        <v>3.6666666666666667E-2</v>
      </c>
      <c r="S34" s="22">
        <f t="shared" si="5"/>
        <v>0.04</v>
      </c>
      <c r="T34" s="22">
        <f t="shared" si="5"/>
        <v>4.3333333333333335E-2</v>
      </c>
      <c r="U34" s="22">
        <f t="shared" si="5"/>
        <v>4.6666666666666669E-2</v>
      </c>
      <c r="V34" s="22">
        <f t="shared" si="5"/>
        <v>0.05</v>
      </c>
      <c r="W34" s="22">
        <f t="shared" si="5"/>
        <v>5.3333333333333337E-2</v>
      </c>
      <c r="X34" s="22">
        <f t="shared" si="5"/>
        <v>5.6666666666666671E-2</v>
      </c>
      <c r="Y34" s="22">
        <f t="shared" si="5"/>
        <v>6.0000000000000005E-2</v>
      </c>
      <c r="Z34" s="22">
        <f t="shared" si="5"/>
        <v>6.3333333333333339E-2</v>
      </c>
      <c r="AA34" s="22">
        <f t="shared" si="5"/>
        <v>6.6666666666666666E-2</v>
      </c>
      <c r="AB34" s="22">
        <f t="shared" si="5"/>
        <v>7.0000000000000007E-2</v>
      </c>
      <c r="AC34" s="22">
        <f t="shared" si="5"/>
        <v>7.3333333333333334E-2</v>
      </c>
      <c r="AD34" s="22">
        <f t="shared" si="5"/>
        <v>7.6666666666666675E-2</v>
      </c>
      <c r="AE34" s="22">
        <f t="shared" si="5"/>
        <v>0.08</v>
      </c>
      <c r="AF34" s="22">
        <f t="shared" si="5"/>
        <v>8.3333333333333343E-2</v>
      </c>
      <c r="AG34" s="22">
        <f t="shared" si="5"/>
        <v>8.666666666666667E-2</v>
      </c>
      <c r="AH34" s="22">
        <f t="shared" si="5"/>
        <v>9.0000000000000011E-2</v>
      </c>
      <c r="AI34" s="22">
        <f t="shared" si="5"/>
        <v>9.3333333333333338E-2</v>
      </c>
      <c r="AJ34" s="22">
        <f t="shared" si="5"/>
        <v>9.6666666666666679E-2</v>
      </c>
      <c r="AK34" s="22">
        <f t="shared" si="5"/>
        <v>0.1</v>
      </c>
      <c r="AL34" s="27"/>
      <c r="AM34" s="24"/>
      <c r="AN34" s="9"/>
    </row>
    <row r="35" spans="5:138" x14ac:dyDescent="0.3">
      <c r="E35" s="25"/>
      <c r="F35" s="26"/>
      <c r="G35" s="21">
        <v>1</v>
      </c>
      <c r="H35" s="21">
        <v>2</v>
      </c>
      <c r="I35" s="21">
        <v>3</v>
      </c>
      <c r="J35" s="21">
        <v>4</v>
      </c>
      <c r="K35" s="21">
        <v>5</v>
      </c>
      <c r="L35" s="21">
        <v>6</v>
      </c>
      <c r="M35" s="21">
        <v>7</v>
      </c>
      <c r="N35" s="21">
        <v>8</v>
      </c>
      <c r="O35" s="21">
        <v>9</v>
      </c>
      <c r="P35" s="21">
        <v>10</v>
      </c>
      <c r="Q35" s="21">
        <v>11</v>
      </c>
      <c r="R35" s="21">
        <v>12</v>
      </c>
      <c r="S35" s="21">
        <v>13</v>
      </c>
      <c r="T35" s="21">
        <v>14</v>
      </c>
      <c r="U35" s="21">
        <v>15</v>
      </c>
      <c r="V35" s="21">
        <v>16</v>
      </c>
      <c r="W35" s="21">
        <v>17</v>
      </c>
      <c r="X35" s="21">
        <v>18</v>
      </c>
      <c r="Y35" s="21">
        <v>19</v>
      </c>
      <c r="Z35" s="21">
        <v>20</v>
      </c>
      <c r="AA35" s="21">
        <v>21</v>
      </c>
      <c r="AB35" s="21">
        <v>22</v>
      </c>
      <c r="AC35" s="21">
        <v>23</v>
      </c>
      <c r="AD35" s="21">
        <v>24</v>
      </c>
      <c r="AE35" s="21">
        <v>25</v>
      </c>
      <c r="AF35" s="21">
        <v>26</v>
      </c>
      <c r="AG35" s="21">
        <v>27</v>
      </c>
      <c r="AH35" s="21">
        <v>28</v>
      </c>
      <c r="AI35" s="21">
        <v>29</v>
      </c>
      <c r="AJ35" s="21">
        <v>30</v>
      </c>
      <c r="AK35" s="21">
        <v>31</v>
      </c>
      <c r="AL35" s="28"/>
      <c r="AM35" s="26"/>
      <c r="AN35" s="9"/>
    </row>
    <row r="36" spans="5:138" x14ac:dyDescent="0.3"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9"/>
      <c r="AM36" s="10"/>
    </row>
    <row r="37" spans="5:138" x14ac:dyDescent="0.3">
      <c r="AL37" s="9"/>
      <c r="AM37" s="10"/>
    </row>
    <row r="38" spans="5:138" x14ac:dyDescent="0.3">
      <c r="E38" s="53" t="s">
        <v>36</v>
      </c>
      <c r="F38" s="21" t="s">
        <v>35</v>
      </c>
      <c r="G38" s="21">
        <v>0</v>
      </c>
      <c r="H38" s="22">
        <v>3.3333333333333335E-3</v>
      </c>
      <c r="I38" s="22">
        <v>6.6666666666666671E-3</v>
      </c>
      <c r="J38" s="22">
        <v>0.01</v>
      </c>
      <c r="K38" s="22">
        <v>1.3333333333333334E-2</v>
      </c>
      <c r="L38" s="22">
        <v>1.6666666666666666E-2</v>
      </c>
      <c r="M38" s="22">
        <v>0.02</v>
      </c>
      <c r="N38" s="22">
        <v>2.3333333333333334E-2</v>
      </c>
      <c r="O38" s="22">
        <v>2.6666666666666668E-2</v>
      </c>
      <c r="P38" s="22">
        <v>3.0000000000000002E-2</v>
      </c>
      <c r="Q38" s="22">
        <v>3.3333333333333333E-2</v>
      </c>
      <c r="R38" s="22">
        <v>3.6666666666666667E-2</v>
      </c>
      <c r="S38" s="22">
        <v>0.04</v>
      </c>
      <c r="T38" s="22">
        <v>4.3333333333333335E-2</v>
      </c>
      <c r="U38" s="22">
        <v>4.6666666666666669E-2</v>
      </c>
      <c r="V38" s="22">
        <v>0.05</v>
      </c>
      <c r="W38" s="22">
        <v>5.3333333333333337E-2</v>
      </c>
      <c r="X38" s="22">
        <v>5.6666666666666671E-2</v>
      </c>
      <c r="Y38" s="22">
        <v>6.0000000000000005E-2</v>
      </c>
      <c r="Z38" s="22">
        <v>6.3333333333333339E-2</v>
      </c>
      <c r="AA38" s="22">
        <v>6.6666666666666666E-2</v>
      </c>
      <c r="AB38" s="22">
        <v>7.0000000000000007E-2</v>
      </c>
      <c r="AC38" s="22">
        <v>7.3333333333333334E-2</v>
      </c>
      <c r="AD38" s="22">
        <v>7.6666666666666675E-2</v>
      </c>
      <c r="AE38" s="22">
        <v>0.08</v>
      </c>
      <c r="AF38" s="22">
        <v>8.3333333333333343E-2</v>
      </c>
      <c r="AG38" s="22">
        <v>8.666666666666667E-2</v>
      </c>
      <c r="AH38" s="22">
        <v>9.0000000000000011E-2</v>
      </c>
      <c r="AI38" s="22">
        <v>9.3333333333333338E-2</v>
      </c>
      <c r="AJ38" s="22">
        <v>9.6666666666666679E-2</v>
      </c>
      <c r="AK38" s="22">
        <v>0.1</v>
      </c>
      <c r="AL38" s="52" t="s">
        <v>37</v>
      </c>
      <c r="AM38" s="21" t="s">
        <v>35</v>
      </c>
      <c r="AN38" s="21">
        <v>0</v>
      </c>
      <c r="AO38" s="22">
        <v>3.3333333333333335E-3</v>
      </c>
      <c r="AP38" s="22">
        <v>6.6666666666666671E-3</v>
      </c>
      <c r="AQ38" s="22">
        <v>0.01</v>
      </c>
      <c r="AR38" s="22">
        <v>1.3333333333333334E-2</v>
      </c>
      <c r="AS38" s="22">
        <v>1.6666666666666666E-2</v>
      </c>
      <c r="AT38" s="22">
        <v>0.02</v>
      </c>
      <c r="AU38" s="22">
        <v>2.3333333333333334E-2</v>
      </c>
      <c r="AV38" s="22">
        <v>2.6666666666666668E-2</v>
      </c>
      <c r="AW38" s="22">
        <v>3.0000000000000002E-2</v>
      </c>
      <c r="AX38" s="22">
        <v>3.3333333333333333E-2</v>
      </c>
      <c r="AY38" s="22">
        <v>3.6666666666666667E-2</v>
      </c>
      <c r="AZ38" s="22">
        <v>0.04</v>
      </c>
      <c r="BA38" s="22">
        <v>4.3333333333333335E-2</v>
      </c>
      <c r="BB38" s="22">
        <v>4.6666666666666669E-2</v>
      </c>
      <c r="BC38" s="22">
        <v>0.05</v>
      </c>
      <c r="BD38" s="22">
        <v>5.3333333333333337E-2</v>
      </c>
      <c r="BE38" s="22">
        <v>5.6666666666666671E-2</v>
      </c>
      <c r="BF38" s="22">
        <v>6.0000000000000005E-2</v>
      </c>
      <c r="BG38" s="22">
        <v>6.3333333333333339E-2</v>
      </c>
      <c r="BH38" s="22">
        <v>6.6666666666666666E-2</v>
      </c>
      <c r="BI38" s="22">
        <v>7.0000000000000007E-2</v>
      </c>
      <c r="BJ38" s="22">
        <v>7.3333333333333334E-2</v>
      </c>
      <c r="BK38" s="22">
        <v>7.6666666666666675E-2</v>
      </c>
      <c r="BL38" s="22">
        <v>0.08</v>
      </c>
      <c r="BM38" s="22">
        <v>8.3333333333333343E-2</v>
      </c>
      <c r="BN38" s="22">
        <v>8.666666666666667E-2</v>
      </c>
      <c r="BO38" s="22">
        <v>9.0000000000000011E-2</v>
      </c>
      <c r="BP38" s="22">
        <v>9.3333333333333338E-2</v>
      </c>
      <c r="BQ38" s="22">
        <v>9.6666666666666679E-2</v>
      </c>
      <c r="BR38" s="22">
        <v>0.1</v>
      </c>
      <c r="BT38" s="52" t="s">
        <v>39</v>
      </c>
      <c r="BU38" s="21" t="s">
        <v>35</v>
      </c>
      <c r="BV38" s="21">
        <v>0</v>
      </c>
      <c r="BW38" s="22">
        <v>3.3333333333333335E-3</v>
      </c>
      <c r="BX38" s="22">
        <v>6.6666666666666671E-3</v>
      </c>
      <c r="BY38" s="22">
        <v>0.01</v>
      </c>
      <c r="BZ38" s="22">
        <v>1.3333333333333334E-2</v>
      </c>
      <c r="CA38" s="22">
        <v>1.6666666666666666E-2</v>
      </c>
      <c r="CB38" s="22">
        <v>0.02</v>
      </c>
      <c r="CC38" s="22">
        <v>2.3333333333333334E-2</v>
      </c>
      <c r="CD38" s="22">
        <v>2.6666666666666668E-2</v>
      </c>
      <c r="CE38" s="22">
        <v>3.0000000000000002E-2</v>
      </c>
      <c r="CF38" s="22">
        <v>3.3333333333333333E-2</v>
      </c>
      <c r="CG38" s="22">
        <v>3.6666666666666667E-2</v>
      </c>
      <c r="CH38" s="22">
        <v>0.04</v>
      </c>
      <c r="CI38" s="22">
        <v>4.3333333333333335E-2</v>
      </c>
      <c r="CJ38" s="22">
        <v>4.6666666666666669E-2</v>
      </c>
      <c r="CK38" s="22">
        <v>0.05</v>
      </c>
      <c r="CL38" s="22">
        <v>5.3333333333333337E-2</v>
      </c>
      <c r="CM38" s="22">
        <v>5.6666666666666671E-2</v>
      </c>
      <c r="CN38" s="22">
        <v>6.0000000000000005E-2</v>
      </c>
      <c r="CO38" s="22">
        <v>6.3333333333333339E-2</v>
      </c>
      <c r="CP38" s="22">
        <v>6.6666666666666666E-2</v>
      </c>
      <c r="CQ38" s="22">
        <v>7.0000000000000007E-2</v>
      </c>
      <c r="CR38" s="22">
        <v>7.3333333333333334E-2</v>
      </c>
      <c r="CS38" s="22">
        <v>7.6666666666666675E-2</v>
      </c>
      <c r="CT38" s="22">
        <v>0.08</v>
      </c>
      <c r="CU38" s="22">
        <v>8.3333333333333343E-2</v>
      </c>
      <c r="CV38" s="22">
        <v>8.666666666666667E-2</v>
      </c>
      <c r="CW38" s="22">
        <v>9.0000000000000011E-2</v>
      </c>
      <c r="CX38" s="22">
        <v>9.3333333333333338E-2</v>
      </c>
      <c r="CY38" s="22">
        <v>9.6666666666666679E-2</v>
      </c>
      <c r="CZ38" s="22">
        <v>0.1</v>
      </c>
      <c r="DB38" s="52" t="s">
        <v>38</v>
      </c>
      <c r="DC38" s="21" t="s">
        <v>35</v>
      </c>
      <c r="DD38" s="21">
        <v>0</v>
      </c>
      <c r="DE38" s="22">
        <v>3.3333333333333335E-3</v>
      </c>
      <c r="DF38" s="22">
        <v>6.6666666666666671E-3</v>
      </c>
      <c r="DG38" s="22">
        <v>0.01</v>
      </c>
      <c r="DH38" s="22">
        <v>1.3333333333333334E-2</v>
      </c>
      <c r="DI38" s="22">
        <v>1.6666666666666666E-2</v>
      </c>
      <c r="DJ38" s="22">
        <v>0.02</v>
      </c>
      <c r="DK38" s="22">
        <v>2.3333333333333334E-2</v>
      </c>
      <c r="DL38" s="22">
        <v>2.6666666666666668E-2</v>
      </c>
      <c r="DM38" s="22">
        <v>3.0000000000000002E-2</v>
      </c>
      <c r="DN38" s="22">
        <v>3.3333333333333333E-2</v>
      </c>
      <c r="DO38" s="22">
        <v>3.6666666666666667E-2</v>
      </c>
      <c r="DP38" s="22">
        <v>0.04</v>
      </c>
      <c r="DQ38" s="22">
        <v>4.3333333333333335E-2</v>
      </c>
      <c r="DR38" s="22">
        <v>4.6666666666666669E-2</v>
      </c>
      <c r="DS38" s="22">
        <v>0.05</v>
      </c>
      <c r="DT38" s="22">
        <v>5.3333333333333337E-2</v>
      </c>
      <c r="DU38" s="22">
        <v>5.6666666666666671E-2</v>
      </c>
      <c r="DV38" s="22">
        <v>6.0000000000000005E-2</v>
      </c>
      <c r="DW38" s="22">
        <v>6.3333333333333339E-2</v>
      </c>
      <c r="DX38" s="22">
        <v>6.6666666666666666E-2</v>
      </c>
      <c r="DY38" s="22">
        <v>7.0000000000000007E-2</v>
      </c>
      <c r="DZ38" s="22">
        <v>7.3333333333333334E-2</v>
      </c>
      <c r="EA38" s="22">
        <v>7.6666666666666675E-2</v>
      </c>
      <c r="EB38" s="22">
        <v>0.08</v>
      </c>
      <c r="EC38" s="22">
        <v>8.3333333333333343E-2</v>
      </c>
      <c r="ED38" s="22">
        <v>8.666666666666667E-2</v>
      </c>
      <c r="EE38" s="22">
        <v>9.0000000000000011E-2</v>
      </c>
      <c r="EF38" s="22">
        <v>9.3333333333333338E-2</v>
      </c>
      <c r="EG38" s="22">
        <v>9.6666666666666679E-2</v>
      </c>
      <c r="EH38" s="22">
        <v>0.1</v>
      </c>
    </row>
    <row r="39" spans="5:138" x14ac:dyDescent="0.3">
      <c r="E39" s="54"/>
      <c r="F39" s="22">
        <v>0.1</v>
      </c>
      <c r="G39" s="15">
        <f>$B$16</f>
        <v>300</v>
      </c>
      <c r="H39" s="17">
        <f>BW39*I39+DE39</f>
        <v>287.55731592280466</v>
      </c>
      <c r="I39" s="17">
        <f t="shared" ref="I39:AI39" si="6">BX39*J39+DF39</f>
        <v>275.17898811124115</v>
      </c>
      <c r="J39" s="17">
        <f t="shared" si="6"/>
        <v>262.92862057242814</v>
      </c>
      <c r="K39" s="17">
        <f t="shared" si="6"/>
        <v>250.86832312504339</v>
      </c>
      <c r="L39" s="17">
        <f t="shared" si="6"/>
        <v>239.05798991969311</v>
      </c>
      <c r="M39" s="17">
        <f t="shared" si="6"/>
        <v>227.55460812415367</v>
      </c>
      <c r="N39" s="17">
        <f t="shared" si="6"/>
        <v>216.41160589358753</v>
      </c>
      <c r="O39" s="17">
        <f t="shared" si="6"/>
        <v>205.678247982725</v>
      </c>
      <c r="P39" s="17">
        <f t="shared" si="6"/>
        <v>195.39908644890835</v>
      </c>
      <c r="Q39" s="17">
        <f t="shared" si="6"/>
        <v>185.61347286944132</v>
      </c>
      <c r="R39" s="17">
        <f t="shared" si="6"/>
        <v>176.35513738430197</v>
      </c>
      <c r="S39" s="17">
        <f t="shared" si="6"/>
        <v>167.65183870795173</v>
      </c>
      <c r="T39" s="17">
        <f t="shared" si="6"/>
        <v>159.52508806398617</v>
      </c>
      <c r="U39" s="17">
        <f t="shared" si="6"/>
        <v>151.9899488150304</v>
      </c>
      <c r="V39" s="17">
        <f t="shared" si="6"/>
        <v>145.05491241676188</v>
      </c>
      <c r="W39" s="17">
        <f t="shared" si="6"/>
        <v>138.72185024525535</v>
      </c>
      <c r="X39" s="17">
        <f t="shared" si="6"/>
        <v>132.98603985299525</v>
      </c>
      <c r="Y39" s="17">
        <f t="shared" si="6"/>
        <v>127.83626331823518</v>
      </c>
      <c r="Z39" s="17">
        <f t="shared" si="6"/>
        <v>123.25497457719484</v>
      </c>
      <c r="AA39" s="17">
        <f t="shared" si="6"/>
        <v>119.21853197592419</v>
      </c>
      <c r="AB39" s="17">
        <f t="shared" si="6"/>
        <v>115.69749175042318</v>
      </c>
      <c r="AC39" s="17">
        <f t="shared" si="6"/>
        <v>112.6569577367832</v>
      </c>
      <c r="AD39" s="17">
        <f t="shared" si="6"/>
        <v>110.05698232030861</v>
      </c>
      <c r="AE39" s="17">
        <f t="shared" si="6"/>
        <v>107.85301344262035</v>
      </c>
      <c r="AF39" s="17">
        <f t="shared" si="6"/>
        <v>105.99638238448571</v>
      </c>
      <c r="AG39" s="17">
        <f t="shared" si="6"/>
        <v>104.43482701328514</v>
      </c>
      <c r="AH39" s="17">
        <f t="shared" si="6"/>
        <v>103.11304521014017</v>
      </c>
      <c r="AI39" s="17">
        <f t="shared" si="6"/>
        <v>101.9732732550159</v>
      </c>
      <c r="AJ39" s="17">
        <f>CY39*AK39+EG39</f>
        <v>100.95588403142658</v>
      </c>
      <c r="AK39" s="15">
        <f>$B$17</f>
        <v>100</v>
      </c>
      <c r="AL39" s="52"/>
      <c r="AM39" s="13">
        <v>0.1</v>
      </c>
      <c r="AN39" s="18">
        <f>-($B$12*$B$11)/$B$8*G3</f>
        <v>-1076400000</v>
      </c>
      <c r="AO39" s="18">
        <f t="shared" ref="AO39:BR39" si="7">-($B$12*$B$11)/$B$8*H3</f>
        <v>-1031489214.5913075</v>
      </c>
      <c r="AP39" s="18">
        <f t="shared" si="7"/>
        <v>-986812453.81394601</v>
      </c>
      <c r="AQ39" s="18">
        <f t="shared" si="7"/>
        <v>-942601000.43535936</v>
      </c>
      <c r="AR39" s="18">
        <f t="shared" si="7"/>
        <v>-899080691.41063297</v>
      </c>
      <c r="AS39" s="18">
        <f t="shared" si="7"/>
        <v>-856469288.99524236</v>
      </c>
      <c r="AT39" s="18">
        <f t="shared" si="7"/>
        <v>-814973962.55047393</v>
      </c>
      <c r="AU39" s="18">
        <f t="shared" si="7"/>
        <v>-774788914.46261895</v>
      </c>
      <c r="AV39" s="18">
        <f t="shared" si="7"/>
        <v>-736093180.76104724</v>
      </c>
      <c r="AW39" s="18">
        <f t="shared" si="7"/>
        <v>-699048633.64767575</v>
      </c>
      <c r="AX39" s="18">
        <f t="shared" si="7"/>
        <v>-663798209.34503889</v>
      </c>
      <c r="AY39" s="18">
        <f t="shared" si="7"/>
        <v>-630464380.54648852</v>
      </c>
      <c r="AZ39" s="18">
        <f t="shared" si="7"/>
        <v>-599147888.43005836</v>
      </c>
      <c r="BA39" s="18">
        <f t="shared" si="7"/>
        <v>-569926744.79824197</v>
      </c>
      <c r="BB39" s="18">
        <f t="shared" si="7"/>
        <v>-542855510.54648411</v>
      </c>
      <c r="BC39" s="18">
        <f t="shared" si="7"/>
        <v>-517964852.45254695</v>
      </c>
      <c r="BD39" s="18">
        <f t="shared" si="7"/>
        <v>-495261376.31389606</v>
      </c>
      <c r="BE39" s="18">
        <f t="shared" si="7"/>
        <v>-474727730.82249683</v>
      </c>
      <c r="BF39" s="18">
        <f t="shared" si="7"/>
        <v>-456322973.31982815</v>
      </c>
      <c r="BG39" s="18">
        <f t="shared" si="7"/>
        <v>-439983185.76432878</v>
      </c>
      <c r="BH39" s="18">
        <f t="shared" si="7"/>
        <v>-425622326.89392954</v>
      </c>
      <c r="BI39" s="18">
        <f t="shared" si="7"/>
        <v>-413133304.68341386</v>
      </c>
      <c r="BJ39" s="18">
        <f t="shared" si="7"/>
        <v>-402389251.76731354</v>
      </c>
      <c r="BK39" s="18">
        <f t="shared" si="7"/>
        <v>-393244985.49469203</v>
      </c>
      <c r="BL39" s="18">
        <f t="shared" si="7"/>
        <v>-385538633.65917015</v>
      </c>
      <c r="BM39" s="18">
        <f t="shared" si="7"/>
        <v>-379093406.65162784</v>
      </c>
      <c r="BN39" s="18">
        <f t="shared" si="7"/>
        <v>-373719496.75191712</v>
      </c>
      <c r="BO39" s="18">
        <f t="shared" si="7"/>
        <v>-369216085.44317728</v>
      </c>
      <c r="BP39" s="18">
        <f t="shared" si="7"/>
        <v>-365373439.93044239</v>
      </c>
      <c r="BQ39" s="18">
        <f t="shared" si="7"/>
        <v>-361975080.4092049</v>
      </c>
      <c r="BR39" s="18">
        <f t="shared" si="7"/>
        <v>-358800000</v>
      </c>
      <c r="BT39" s="52"/>
      <c r="BU39" s="22">
        <v>0.1</v>
      </c>
      <c r="BV39" s="18">
        <v>0</v>
      </c>
      <c r="BW39" s="18">
        <f>$B$20/($B$21-$B$22*BV39)</f>
        <v>0.34883720930232553</v>
      </c>
      <c r="BX39" s="18">
        <f t="shared" ref="BX39:CY39" si="8">$B$20/($B$21-$B$22*BW39)</f>
        <v>0.39716748768472904</v>
      </c>
      <c r="BY39" s="18">
        <f t="shared" si="8"/>
        <v>0.40494040593779607</v>
      </c>
      <c r="BZ39" s="18">
        <f t="shared" si="8"/>
        <v>0.4062190081621499</v>
      </c>
      <c r="CA39" s="18">
        <f t="shared" si="8"/>
        <v>0.40643010492156101</v>
      </c>
      <c r="CB39" s="18">
        <f t="shared" si="8"/>
        <v>0.40646497802255066</v>
      </c>
      <c r="CC39" s="18">
        <f t="shared" si="8"/>
        <v>0.40647073962099717</v>
      </c>
      <c r="CD39" s="18">
        <f t="shared" si="8"/>
        <v>0.40647169154566137</v>
      </c>
      <c r="CE39" s="18">
        <f t="shared" si="8"/>
        <v>0.40647184882198806</v>
      </c>
      <c r="CF39" s="18">
        <f t="shared" si="8"/>
        <v>0.40647187480708435</v>
      </c>
      <c r="CG39" s="18">
        <f t="shared" si="8"/>
        <v>0.40647187910032606</v>
      </c>
      <c r="CH39" s="18">
        <f t="shared" si="8"/>
        <v>0.40647187980965277</v>
      </c>
      <c r="CI39" s="18">
        <f t="shared" si="8"/>
        <v>0.4064718799268473</v>
      </c>
      <c r="CJ39" s="18">
        <f t="shared" si="8"/>
        <v>0.40647187994621015</v>
      </c>
      <c r="CK39" s="18">
        <f t="shared" si="8"/>
        <v>0.40647187994940925</v>
      </c>
      <c r="CL39" s="18">
        <f t="shared" si="8"/>
        <v>0.40647187994993778</v>
      </c>
      <c r="CM39" s="18">
        <f t="shared" si="8"/>
        <v>0.40647187995002515</v>
      </c>
      <c r="CN39" s="18">
        <f t="shared" si="8"/>
        <v>0.40647187995003953</v>
      </c>
      <c r="CO39" s="18">
        <f t="shared" si="8"/>
        <v>0.40647187995004191</v>
      </c>
      <c r="CP39" s="18">
        <f t="shared" si="8"/>
        <v>0.40647187995004236</v>
      </c>
      <c r="CQ39" s="18">
        <f t="shared" si="8"/>
        <v>0.40647187995004236</v>
      </c>
      <c r="CR39" s="18">
        <f t="shared" si="8"/>
        <v>0.40647187995004236</v>
      </c>
      <c r="CS39" s="18">
        <f t="shared" si="8"/>
        <v>0.40647187995004236</v>
      </c>
      <c r="CT39" s="18">
        <f t="shared" si="8"/>
        <v>0.40647187995004236</v>
      </c>
      <c r="CU39" s="18">
        <f t="shared" si="8"/>
        <v>0.40647187995004236</v>
      </c>
      <c r="CV39" s="18">
        <f t="shared" si="8"/>
        <v>0.40647187995004236</v>
      </c>
      <c r="CW39" s="18">
        <f t="shared" si="8"/>
        <v>0.40647187995004236</v>
      </c>
      <c r="CX39" s="18">
        <f t="shared" si="8"/>
        <v>0.40647187995004236</v>
      </c>
      <c r="CY39" s="18">
        <f t="shared" si="8"/>
        <v>0.40647187995004236</v>
      </c>
      <c r="CZ39" s="12">
        <f>$B$17</f>
        <v>100</v>
      </c>
      <c r="DB39" s="52"/>
      <c r="DC39" s="22">
        <v>0.1</v>
      </c>
      <c r="DD39" s="18">
        <f>G3</f>
        <v>300</v>
      </c>
      <c r="DE39" s="18">
        <f>(DD39*$B$22-AO39)/($B$21-$B$22*BV39)</f>
        <v>191.56464565144148</v>
      </c>
      <c r="DF39" s="18">
        <f t="shared" ref="DF39:EH39" si="9">(DE39*$B$22-AP39)/($B$21-$B$22*BW39)</f>
        <v>170.75228843807849</v>
      </c>
      <c r="DG39" s="18">
        <f t="shared" si="9"/>
        <v>161.34189996923888</v>
      </c>
      <c r="DH39" s="18">
        <f t="shared" si="9"/>
        <v>153.75842356662841</v>
      </c>
      <c r="DI39" s="18">
        <f t="shared" si="9"/>
        <v>146.57294666440865</v>
      </c>
      <c r="DJ39" s="18">
        <f t="shared" si="9"/>
        <v>139.59086949079173</v>
      </c>
      <c r="DK39" s="18">
        <f t="shared" si="9"/>
        <v>132.80941631209845</v>
      </c>
      <c r="DL39" s="18">
        <f t="shared" si="9"/>
        <v>126.25405078736028</v>
      </c>
      <c r="DM39" s="18">
        <f t="shared" si="9"/>
        <v>119.95243496539662</v>
      </c>
      <c r="DN39" s="18">
        <f t="shared" si="9"/>
        <v>113.93006954498317</v>
      </c>
      <c r="DO39" s="18">
        <f t="shared" si="9"/>
        <v>108.20937947005605</v>
      </c>
      <c r="DP39" s="18">
        <f t="shared" si="9"/>
        <v>102.80937628578286</v>
      </c>
      <c r="DQ39" s="18">
        <f t="shared" si="9"/>
        <v>97.745447839155474</v>
      </c>
      <c r="DR39" s="18">
        <f t="shared" si="9"/>
        <v>93.02920586955635</v>
      </c>
      <c r="DS39" s="18">
        <f t="shared" si="9"/>
        <v>88.668381157512513</v>
      </c>
      <c r="DT39" s="18">
        <f t="shared" si="9"/>
        <v>84.666764619111021</v>
      </c>
      <c r="DU39" s="18">
        <f t="shared" si="9"/>
        <v>81.02419357624575</v>
      </c>
      <c r="DV39" s="18">
        <f t="shared" si="9"/>
        <v>77.736582088648461</v>
      </c>
      <c r="DW39" s="18">
        <f t="shared" si="9"/>
        <v>74.79599376005676</v>
      </c>
      <c r="DX39" s="18">
        <f t="shared" si="9"/>
        <v>72.190754998625167</v>
      </c>
      <c r="DY39" s="18">
        <f t="shared" si="9"/>
        <v>69.905606349700449</v>
      </c>
      <c r="DZ39" s="18">
        <f t="shared" si="9"/>
        <v>67.921889231418774</v>
      </c>
      <c r="EA39" s="18">
        <f t="shared" si="9"/>
        <v>66.217765188009523</v>
      </c>
      <c r="EB39" s="18">
        <f t="shared" si="9"/>
        <v>64.768464626894897</v>
      </c>
      <c r="EC39" s="18">
        <f t="shared" si="9"/>
        <v>63.546561916138231</v>
      </c>
      <c r="ED39" s="18">
        <f t="shared" si="9"/>
        <v>62.522273679345759</v>
      </c>
      <c r="EE39" s="18">
        <f t="shared" si="9"/>
        <v>61.663777125514478</v>
      </c>
      <c r="EF39" s="18">
        <f t="shared" si="9"/>
        <v>60.937545280743464</v>
      </c>
      <c r="EG39" s="18">
        <f t="shared" si="9"/>
        <v>60.30869603642234</v>
      </c>
      <c r="EH39" s="18">
        <f t="shared" si="9"/>
        <v>59.741351984263929</v>
      </c>
    </row>
    <row r="40" spans="5:138" x14ac:dyDescent="0.3">
      <c r="E40" s="54"/>
      <c r="F40" s="22">
        <v>9.6666666666666679E-2</v>
      </c>
      <c r="G40" s="15">
        <f t="shared" ref="G40:G69" si="10">$B$16</f>
        <v>300</v>
      </c>
      <c r="H40" s="16">
        <f t="shared" ref="H40:H69" si="11">BW40*I40+DE40</f>
        <v>287.55731592280466</v>
      </c>
      <c r="I40" s="16">
        <f t="shared" ref="I40:I69" si="12">BX40*J40+DF40</f>
        <v>275.17898811124115</v>
      </c>
      <c r="J40" s="16">
        <f t="shared" ref="J40:J69" si="13">BY40*K40+DG40</f>
        <v>262.92862057242814</v>
      </c>
      <c r="K40" s="16">
        <f t="shared" ref="K40:K69" si="14">BZ40*L40+DH40</f>
        <v>250.86832312504339</v>
      </c>
      <c r="L40" s="16">
        <f t="shared" ref="L40:L69" si="15">CA40*M40+DI40</f>
        <v>239.05798991969311</v>
      </c>
      <c r="M40" s="16">
        <f t="shared" ref="M40:M69" si="16">CB40*N40+DJ40</f>
        <v>227.55460812415367</v>
      </c>
      <c r="N40" s="16">
        <f t="shared" ref="N40:N69" si="17">CC40*O40+DK40</f>
        <v>216.41160589358753</v>
      </c>
      <c r="O40" s="16">
        <f t="shared" ref="O40:O69" si="18">CD40*P40+DL40</f>
        <v>205.678247982725</v>
      </c>
      <c r="P40" s="16">
        <f t="shared" ref="P40:P69" si="19">CE40*Q40+DM40</f>
        <v>195.39908644890835</v>
      </c>
      <c r="Q40" s="16">
        <f t="shared" ref="Q40:Q69" si="20">CF40*R40+DN40</f>
        <v>185.61347286944132</v>
      </c>
      <c r="R40" s="16">
        <f t="shared" ref="R40:R69" si="21">CG40*S40+DO40</f>
        <v>176.35513738430197</v>
      </c>
      <c r="S40" s="16">
        <f t="shared" ref="S40:S69" si="22">CH40*T40+DP40</f>
        <v>167.65183870795173</v>
      </c>
      <c r="T40" s="16">
        <f t="shared" ref="T40:T69" si="23">CI40*U40+DQ40</f>
        <v>159.52508806398617</v>
      </c>
      <c r="U40" s="16">
        <f t="shared" ref="U40:U69" si="24">CJ40*V40+DR40</f>
        <v>151.9899488150304</v>
      </c>
      <c r="V40" s="16">
        <f t="shared" ref="V40:V69" si="25">CK40*W40+DS40</f>
        <v>145.05491241676188</v>
      </c>
      <c r="W40" s="16">
        <f t="shared" ref="W40:W69" si="26">CL40*X40+DT40</f>
        <v>138.72185024525535</v>
      </c>
      <c r="X40" s="16">
        <f t="shared" ref="X40:X69" si="27">CM40*Y40+DU40</f>
        <v>132.98603985299525</v>
      </c>
      <c r="Y40" s="16">
        <f t="shared" ref="Y40:Y69" si="28">CN40*Z40+DV40</f>
        <v>127.83626331823518</v>
      </c>
      <c r="Z40" s="16">
        <f t="shared" ref="Z40:Z69" si="29">CO40*AA40+DW40</f>
        <v>123.25497457719484</v>
      </c>
      <c r="AA40" s="16">
        <f t="shared" ref="AA40:AA69" si="30">CP40*AB40+DX40</f>
        <v>119.21853197592419</v>
      </c>
      <c r="AB40" s="16">
        <f t="shared" ref="AB40:AB69" si="31">CQ40*AC40+DY40</f>
        <v>115.69749175042318</v>
      </c>
      <c r="AC40" s="16">
        <f t="shared" ref="AC40:AC69" si="32">CR40*AD40+DZ40</f>
        <v>112.6569577367832</v>
      </c>
      <c r="AD40" s="16">
        <f t="shared" ref="AD40:AD69" si="33">CS40*AE40+EA40</f>
        <v>110.05698232030862</v>
      </c>
      <c r="AE40" s="16">
        <f t="shared" ref="AE40:AE69" si="34">CT40*AF40+EB40</f>
        <v>107.85301344262038</v>
      </c>
      <c r="AF40" s="16">
        <f t="shared" ref="AF40:AF69" si="35">CU40*AG40+EC40</f>
        <v>105.99638238448573</v>
      </c>
      <c r="AG40" s="16">
        <f t="shared" ref="AG40:AG69" si="36">CV40*AH40+ED40</f>
        <v>104.43482701328516</v>
      </c>
      <c r="AH40" s="16">
        <f t="shared" ref="AH40:AH69" si="37">CW40*AI40+EE40</f>
        <v>103.11304521014017</v>
      </c>
      <c r="AI40" s="16">
        <f t="shared" ref="AI40:AJ55" si="38">CX40*AJ40+EF40</f>
        <v>101.9732732550159</v>
      </c>
      <c r="AJ40" s="16">
        <f t="shared" si="38"/>
        <v>100.95588403142658</v>
      </c>
      <c r="AK40" s="15">
        <f t="shared" ref="AK40:AK69" si="39">$B$17</f>
        <v>100</v>
      </c>
      <c r="AL40" s="52"/>
      <c r="AM40" s="13">
        <v>9.6666666666666679E-2</v>
      </c>
      <c r="AN40" s="18">
        <f t="shared" ref="AN40:AN69" si="40">-($B$12*$B$11)/$B$8*G4</f>
        <v>-1076400000</v>
      </c>
      <c r="AO40" s="19">
        <f>-($B$12*$B$11)/$B$8*H4</f>
        <v>-1031489214.5913075</v>
      </c>
      <c r="AP40" s="19">
        <f t="shared" ref="AP40:AP69" si="41">-($B$12*$B$11)/$B$8*I4</f>
        <v>-986812453.81394601</v>
      </c>
      <c r="AQ40" s="19">
        <f t="shared" ref="AQ40:AQ69" si="42">-($B$12*$B$11)/$B$8*J4</f>
        <v>-942601000.43535936</v>
      </c>
      <c r="AR40" s="19">
        <f t="shared" ref="AR40:AR69" si="43">-($B$12*$B$11)/$B$8*K4</f>
        <v>-899080691.41063297</v>
      </c>
      <c r="AS40" s="19">
        <f t="shared" ref="AS40:AS69" si="44">-($B$12*$B$11)/$B$8*L4</f>
        <v>-856469288.99524236</v>
      </c>
      <c r="AT40" s="19">
        <f t="shared" ref="AT40:AT69" si="45">-($B$12*$B$11)/$B$8*M4</f>
        <v>-814973962.55047393</v>
      </c>
      <c r="AU40" s="19">
        <f t="shared" ref="AU40:AU69" si="46">-($B$12*$B$11)/$B$8*N4</f>
        <v>-774788914.46261895</v>
      </c>
      <c r="AV40" s="19">
        <f t="shared" ref="AV40:AV69" si="47">-($B$12*$B$11)/$B$8*O4</f>
        <v>-736093180.76104724</v>
      </c>
      <c r="AW40" s="19">
        <f t="shared" ref="AW40:AW69" si="48">-($B$12*$B$11)/$B$8*P4</f>
        <v>-699048633.64767575</v>
      </c>
      <c r="AX40" s="19">
        <f t="shared" ref="AX40:AX69" si="49">-($B$12*$B$11)/$B$8*Q4</f>
        <v>-663798209.34503889</v>
      </c>
      <c r="AY40" s="19">
        <f t="shared" ref="AY40:AY69" si="50">-($B$12*$B$11)/$B$8*R4</f>
        <v>-630464380.54648852</v>
      </c>
      <c r="AZ40" s="19">
        <f t="shared" ref="AZ40:AZ69" si="51">-($B$12*$B$11)/$B$8*S4</f>
        <v>-599147888.43005836</v>
      </c>
      <c r="BA40" s="19">
        <f t="shared" ref="BA40:BA69" si="52">-($B$12*$B$11)/$B$8*T4</f>
        <v>-569926744.79824197</v>
      </c>
      <c r="BB40" s="19">
        <f t="shared" ref="BB40:BB69" si="53">-($B$12*$B$11)/$B$8*U4</f>
        <v>-542855510.54648411</v>
      </c>
      <c r="BC40" s="19">
        <f t="shared" ref="BC40:BC69" si="54">-($B$12*$B$11)/$B$8*V4</f>
        <v>-517964852.45254695</v>
      </c>
      <c r="BD40" s="19">
        <f t="shared" ref="BD40:BD69" si="55">-($B$12*$B$11)/$B$8*W4</f>
        <v>-495261376.31389606</v>
      </c>
      <c r="BE40" s="19">
        <f t="shared" ref="BE40:BE69" si="56">-($B$12*$B$11)/$B$8*X4</f>
        <v>-474727730.82249683</v>
      </c>
      <c r="BF40" s="19">
        <f t="shared" ref="BF40:BF69" si="57">-($B$12*$B$11)/$B$8*Y4</f>
        <v>-456322973.31982815</v>
      </c>
      <c r="BG40" s="19">
        <f t="shared" ref="BG40:BG69" si="58">-($B$12*$B$11)/$B$8*Z4</f>
        <v>-439983185.76432878</v>
      </c>
      <c r="BH40" s="19">
        <f t="shared" ref="BH40:BH69" si="59">-($B$12*$B$11)/$B$8*AA4</f>
        <v>-425622326.8939296</v>
      </c>
      <c r="BI40" s="19">
        <f t="shared" ref="BI40:BI69" si="60">-($B$12*$B$11)/$B$8*AB4</f>
        <v>-413133304.68341392</v>
      </c>
      <c r="BJ40" s="19">
        <f t="shared" ref="BJ40:BJ69" si="61">-($B$12*$B$11)/$B$8*AC4</f>
        <v>-402389251.76731354</v>
      </c>
      <c r="BK40" s="19">
        <f t="shared" ref="BK40:BK69" si="62">-($B$12*$B$11)/$B$8*AD4</f>
        <v>-393244985.49469203</v>
      </c>
      <c r="BL40" s="19">
        <f t="shared" ref="BL40:BL69" si="63">-($B$12*$B$11)/$B$8*AE4</f>
        <v>-385538633.65917021</v>
      </c>
      <c r="BM40" s="19">
        <f t="shared" ref="BM40:BM69" si="64">-($B$12*$B$11)/$B$8*AF4</f>
        <v>-379093406.65162784</v>
      </c>
      <c r="BN40" s="19">
        <f t="shared" ref="BN40:BN69" si="65">-($B$12*$B$11)/$B$8*AG4</f>
        <v>-373719496.75191712</v>
      </c>
      <c r="BO40" s="19">
        <f t="shared" ref="BO40:BO69" si="66">-($B$12*$B$11)/$B$8*AH4</f>
        <v>-369216085.44317728</v>
      </c>
      <c r="BP40" s="19">
        <f t="shared" ref="BP40:BP69" si="67">-($B$12*$B$11)/$B$8*AI4</f>
        <v>-365373439.93044239</v>
      </c>
      <c r="BQ40" s="19">
        <f t="shared" ref="BQ40:BQ69" si="68">-($B$12*$B$11)/$B$8*AJ4</f>
        <v>-361975080.4092049</v>
      </c>
      <c r="BR40" s="18">
        <f t="shared" ref="BR40:BR69" si="69">-($B$12*$B$11)/$B$8*AK4</f>
        <v>-358800000</v>
      </c>
      <c r="BT40" s="52"/>
      <c r="BU40" s="22">
        <v>9.6666666666666679E-2</v>
      </c>
      <c r="BV40" s="18">
        <v>0</v>
      </c>
      <c r="BW40" s="20">
        <f t="shared" ref="BW40:CY40" si="70">$B$20/($B$21-$B$22*BV40)</f>
        <v>0.34883720930232553</v>
      </c>
      <c r="BX40" s="20">
        <f t="shared" si="70"/>
        <v>0.39716748768472904</v>
      </c>
      <c r="BY40" s="20">
        <f t="shared" si="70"/>
        <v>0.40494040593779607</v>
      </c>
      <c r="BZ40" s="20">
        <f t="shared" si="70"/>
        <v>0.4062190081621499</v>
      </c>
      <c r="CA40" s="20">
        <f t="shared" si="70"/>
        <v>0.40643010492156101</v>
      </c>
      <c r="CB40" s="20">
        <f t="shared" si="70"/>
        <v>0.40646497802255066</v>
      </c>
      <c r="CC40" s="20">
        <f t="shared" si="70"/>
        <v>0.40647073962099717</v>
      </c>
      <c r="CD40" s="20">
        <f t="shared" si="70"/>
        <v>0.40647169154566137</v>
      </c>
      <c r="CE40" s="20">
        <f t="shared" si="70"/>
        <v>0.40647184882198806</v>
      </c>
      <c r="CF40" s="20">
        <f t="shared" si="70"/>
        <v>0.40647187480708435</v>
      </c>
      <c r="CG40" s="20">
        <f t="shared" si="70"/>
        <v>0.40647187910032606</v>
      </c>
      <c r="CH40" s="20">
        <f t="shared" si="70"/>
        <v>0.40647187980965277</v>
      </c>
      <c r="CI40" s="20">
        <f t="shared" si="70"/>
        <v>0.4064718799268473</v>
      </c>
      <c r="CJ40" s="20">
        <f t="shared" si="70"/>
        <v>0.40647187994621015</v>
      </c>
      <c r="CK40" s="20">
        <f t="shared" si="70"/>
        <v>0.40647187994940925</v>
      </c>
      <c r="CL40" s="20">
        <f t="shared" si="70"/>
        <v>0.40647187994993778</v>
      </c>
      <c r="CM40" s="20">
        <f t="shared" si="70"/>
        <v>0.40647187995002515</v>
      </c>
      <c r="CN40" s="20">
        <f t="shared" si="70"/>
        <v>0.40647187995003953</v>
      </c>
      <c r="CO40" s="20">
        <f t="shared" si="70"/>
        <v>0.40647187995004191</v>
      </c>
      <c r="CP40" s="20">
        <f t="shared" si="70"/>
        <v>0.40647187995004236</v>
      </c>
      <c r="CQ40" s="20">
        <f t="shared" si="70"/>
        <v>0.40647187995004236</v>
      </c>
      <c r="CR40" s="20">
        <f t="shared" si="70"/>
        <v>0.40647187995004236</v>
      </c>
      <c r="CS40" s="20">
        <f t="shared" si="70"/>
        <v>0.40647187995004236</v>
      </c>
      <c r="CT40" s="20">
        <f t="shared" si="70"/>
        <v>0.40647187995004236</v>
      </c>
      <c r="CU40" s="20">
        <f t="shared" si="70"/>
        <v>0.40647187995004236</v>
      </c>
      <c r="CV40" s="20">
        <f t="shared" si="70"/>
        <v>0.40647187995004236</v>
      </c>
      <c r="CW40" s="20">
        <f t="shared" si="70"/>
        <v>0.40647187995004236</v>
      </c>
      <c r="CX40" s="20">
        <f t="shared" si="70"/>
        <v>0.40647187995004236</v>
      </c>
      <c r="CY40" s="18">
        <f t="shared" si="70"/>
        <v>0.40647187995004236</v>
      </c>
      <c r="CZ40" s="12">
        <f t="shared" ref="CZ40:CZ69" si="71">$B$17</f>
        <v>100</v>
      </c>
      <c r="DB40" s="52"/>
      <c r="DC40" s="22">
        <v>9.6666666666666679E-2</v>
      </c>
      <c r="DD40" s="18">
        <f t="shared" ref="DD40:DD69" si="72">G4</f>
        <v>300</v>
      </c>
      <c r="DE40" s="20">
        <f t="shared" ref="DE40:DE69" si="73">(DD40*$B$22-AO40)/($B$21-$B$22*BV40)</f>
        <v>191.56464565144148</v>
      </c>
      <c r="DF40" s="20">
        <f t="shared" ref="DF40:DF69" si="74">(DE40*$B$22-AP40)/($B$21-$B$22*BW40)</f>
        <v>170.75228843807849</v>
      </c>
      <c r="DG40" s="20">
        <f t="shared" ref="DG40:DG69" si="75">(DF40*$B$22-AQ40)/($B$21-$B$22*BX40)</f>
        <v>161.34189996923888</v>
      </c>
      <c r="DH40" s="20">
        <f t="shared" ref="DH40:DH69" si="76">(DG40*$B$22-AR40)/($B$21-$B$22*BY40)</f>
        <v>153.75842356662841</v>
      </c>
      <c r="DI40" s="20">
        <f t="shared" ref="DI40:DI69" si="77">(DH40*$B$22-AS40)/($B$21-$B$22*BZ40)</f>
        <v>146.57294666440865</v>
      </c>
      <c r="DJ40" s="20">
        <f t="shared" ref="DJ40:DJ69" si="78">(DI40*$B$22-AT40)/($B$21-$B$22*CA40)</f>
        <v>139.59086949079173</v>
      </c>
      <c r="DK40" s="20">
        <f t="shared" ref="DK40:DK69" si="79">(DJ40*$B$22-AU40)/($B$21-$B$22*CB40)</f>
        <v>132.80941631209845</v>
      </c>
      <c r="DL40" s="20">
        <f t="shared" ref="DL40:DL69" si="80">(DK40*$B$22-AV40)/($B$21-$B$22*CC40)</f>
        <v>126.25405078736028</v>
      </c>
      <c r="DM40" s="20">
        <f t="shared" ref="DM40:DM69" si="81">(DL40*$B$22-AW40)/($B$21-$B$22*CD40)</f>
        <v>119.95243496539662</v>
      </c>
      <c r="DN40" s="20">
        <f t="shared" ref="DN40:DN69" si="82">(DM40*$B$22-AX40)/($B$21-$B$22*CE40)</f>
        <v>113.93006954498317</v>
      </c>
      <c r="DO40" s="20">
        <f t="shared" ref="DO40:DO69" si="83">(DN40*$B$22-AY40)/($B$21-$B$22*CF40)</f>
        <v>108.20937947005605</v>
      </c>
      <c r="DP40" s="20">
        <f t="shared" ref="DP40:DP69" si="84">(DO40*$B$22-AZ40)/($B$21-$B$22*CG40)</f>
        <v>102.80937628578286</v>
      </c>
      <c r="DQ40" s="20">
        <f t="shared" ref="DQ40:DQ69" si="85">(DP40*$B$22-BA40)/($B$21-$B$22*CH40)</f>
        <v>97.745447839155474</v>
      </c>
      <c r="DR40" s="20">
        <f t="shared" ref="DR40:DR69" si="86">(DQ40*$B$22-BB40)/($B$21-$B$22*CI40)</f>
        <v>93.02920586955635</v>
      </c>
      <c r="DS40" s="20">
        <f t="shared" ref="DS40:DS69" si="87">(DR40*$B$22-BC40)/($B$21-$B$22*CJ40)</f>
        <v>88.668381157512513</v>
      </c>
      <c r="DT40" s="20">
        <f t="shared" ref="DT40:DT69" si="88">(DS40*$B$22-BD40)/($B$21-$B$22*CK40)</f>
        <v>84.666764619111021</v>
      </c>
      <c r="DU40" s="20">
        <f t="shared" ref="DU40:DU69" si="89">(DT40*$B$22-BE40)/($B$21-$B$22*CL40)</f>
        <v>81.02419357624575</v>
      </c>
      <c r="DV40" s="20">
        <f t="shared" ref="DV40:DV69" si="90">(DU40*$B$22-BF40)/($B$21-$B$22*CM40)</f>
        <v>77.736582088648461</v>
      </c>
      <c r="DW40" s="20">
        <f t="shared" ref="DW40:DW69" si="91">(DV40*$B$22-BG40)/($B$21-$B$22*CN40)</f>
        <v>74.79599376005676</v>
      </c>
      <c r="DX40" s="20">
        <f t="shared" ref="DX40:DX69" si="92">(DW40*$B$22-BH40)/($B$21-$B$22*CO40)</f>
        <v>72.190754998625167</v>
      </c>
      <c r="DY40" s="20">
        <f t="shared" ref="DY40:DY69" si="93">(DX40*$B$22-BI40)/($B$21-$B$22*CP40)</f>
        <v>69.905606349700449</v>
      </c>
      <c r="DZ40" s="20">
        <f t="shared" ref="DZ40:DZ69" si="94">(DY40*$B$22-BJ40)/($B$21-$B$22*CQ40)</f>
        <v>67.921889231418774</v>
      </c>
      <c r="EA40" s="20">
        <f t="shared" ref="EA40:EA69" si="95">(DZ40*$B$22-BK40)/($B$21-$B$22*CR40)</f>
        <v>66.217765188009523</v>
      </c>
      <c r="EB40" s="20">
        <f t="shared" ref="EB40:EB69" si="96">(EA40*$B$22-BL40)/($B$21-$B$22*CS40)</f>
        <v>64.768464626894911</v>
      </c>
      <c r="EC40" s="20">
        <f t="shared" ref="EC40:EC69" si="97">(EB40*$B$22-BM40)/($B$21-$B$22*CT40)</f>
        <v>63.546561916138245</v>
      </c>
      <c r="ED40" s="20">
        <f t="shared" ref="ED40:ED69" si="98">(EC40*$B$22-BN40)/($B$21-$B$22*CU40)</f>
        <v>62.522273679345773</v>
      </c>
      <c r="EE40" s="20">
        <f t="shared" ref="EE40:EE69" si="99">(ED40*$B$22-BO40)/($B$21-$B$22*CV40)</f>
        <v>61.663777125514478</v>
      </c>
      <c r="EF40" s="20">
        <f t="shared" ref="EF40:EF69" si="100">(EE40*$B$22-BP40)/($B$21-$B$22*CW40)</f>
        <v>60.937545280743464</v>
      </c>
      <c r="EG40" s="20">
        <f t="shared" ref="EG40:EG69" si="101">(EF40*$B$22-BQ40)/($B$21-$B$22*CX40)</f>
        <v>60.30869603642234</v>
      </c>
      <c r="EH40" s="18">
        <f t="shared" ref="EH40:EH69" si="102">(EG40*$B$22-BR40)/($B$21-$B$22*CY40)</f>
        <v>59.741351984263929</v>
      </c>
    </row>
    <row r="41" spans="5:138" x14ac:dyDescent="0.3">
      <c r="E41" s="54"/>
      <c r="F41" s="22">
        <v>9.3333333333333338E-2</v>
      </c>
      <c r="G41" s="15">
        <f t="shared" si="10"/>
        <v>300</v>
      </c>
      <c r="H41" s="16">
        <f t="shared" si="11"/>
        <v>287.55731592280466</v>
      </c>
      <c r="I41" s="16">
        <f t="shared" si="12"/>
        <v>275.17898811124115</v>
      </c>
      <c r="J41" s="16">
        <f t="shared" si="13"/>
        <v>262.92862057242814</v>
      </c>
      <c r="K41" s="16">
        <f t="shared" si="14"/>
        <v>250.86832312504339</v>
      </c>
      <c r="L41" s="16">
        <f t="shared" si="15"/>
        <v>239.05798991969311</v>
      </c>
      <c r="M41" s="16">
        <f t="shared" si="16"/>
        <v>227.55460812415367</v>
      </c>
      <c r="N41" s="16">
        <f t="shared" si="17"/>
        <v>216.41160589358753</v>
      </c>
      <c r="O41" s="16">
        <f t="shared" si="18"/>
        <v>205.678247982725</v>
      </c>
      <c r="P41" s="16">
        <f t="shared" si="19"/>
        <v>195.39908644890835</v>
      </c>
      <c r="Q41" s="16">
        <f t="shared" si="20"/>
        <v>185.61347286944132</v>
      </c>
      <c r="R41" s="16">
        <f t="shared" si="21"/>
        <v>176.35513738430197</v>
      </c>
      <c r="S41" s="16">
        <f t="shared" si="22"/>
        <v>167.65183870795173</v>
      </c>
      <c r="T41" s="16">
        <f t="shared" si="23"/>
        <v>159.52508806398617</v>
      </c>
      <c r="U41" s="16">
        <f t="shared" si="24"/>
        <v>151.9899488150304</v>
      </c>
      <c r="V41" s="16">
        <f t="shared" si="25"/>
        <v>145.05491241676188</v>
      </c>
      <c r="W41" s="16">
        <f t="shared" si="26"/>
        <v>138.72185024525535</v>
      </c>
      <c r="X41" s="16">
        <f t="shared" si="27"/>
        <v>132.98603985299525</v>
      </c>
      <c r="Y41" s="16">
        <f t="shared" si="28"/>
        <v>127.83626331823518</v>
      </c>
      <c r="Z41" s="16">
        <f t="shared" si="29"/>
        <v>123.25497457719484</v>
      </c>
      <c r="AA41" s="16">
        <f t="shared" si="30"/>
        <v>119.21853197592419</v>
      </c>
      <c r="AB41" s="16">
        <f t="shared" si="31"/>
        <v>115.69749175042318</v>
      </c>
      <c r="AC41" s="16">
        <f t="shared" si="32"/>
        <v>112.6569577367832</v>
      </c>
      <c r="AD41" s="16">
        <f t="shared" si="33"/>
        <v>110.05698232030862</v>
      </c>
      <c r="AE41" s="16">
        <f t="shared" si="34"/>
        <v>107.85301344262038</v>
      </c>
      <c r="AF41" s="16">
        <f t="shared" si="35"/>
        <v>105.99638238448573</v>
      </c>
      <c r="AG41" s="16">
        <f t="shared" si="36"/>
        <v>104.43482701328516</v>
      </c>
      <c r="AH41" s="16">
        <f t="shared" si="37"/>
        <v>103.11304521014017</v>
      </c>
      <c r="AI41" s="16">
        <f t="shared" si="38"/>
        <v>101.9732732550159</v>
      </c>
      <c r="AJ41" s="16">
        <f t="shared" ref="AJ41:AJ69" si="103">CY41*AK41+EG41</f>
        <v>100.95588403142658</v>
      </c>
      <c r="AK41" s="15">
        <f t="shared" si="39"/>
        <v>100</v>
      </c>
      <c r="AL41" s="52"/>
      <c r="AM41" s="13">
        <v>9.3333333333333338E-2</v>
      </c>
      <c r="AN41" s="18">
        <f t="shared" si="40"/>
        <v>-1076400000</v>
      </c>
      <c r="AO41" s="19">
        <f t="shared" ref="AO41:AO69" si="104">-($B$12*$B$11)/$B$8*H5</f>
        <v>-1031489214.5913075</v>
      </c>
      <c r="AP41" s="19">
        <f t="shared" si="41"/>
        <v>-986812453.81394601</v>
      </c>
      <c r="AQ41" s="19">
        <f t="shared" si="42"/>
        <v>-942601000.43535936</v>
      </c>
      <c r="AR41" s="19">
        <f t="shared" si="43"/>
        <v>-899080691.41063297</v>
      </c>
      <c r="AS41" s="19">
        <f t="shared" si="44"/>
        <v>-856469288.99524236</v>
      </c>
      <c r="AT41" s="19">
        <f t="shared" si="45"/>
        <v>-814973962.55047393</v>
      </c>
      <c r="AU41" s="19">
        <f t="shared" si="46"/>
        <v>-774788914.46261895</v>
      </c>
      <c r="AV41" s="19">
        <f t="shared" si="47"/>
        <v>-736093180.76104724</v>
      </c>
      <c r="AW41" s="19">
        <f t="shared" si="48"/>
        <v>-699048633.64767575</v>
      </c>
      <c r="AX41" s="19">
        <f t="shared" si="49"/>
        <v>-663798209.34503889</v>
      </c>
      <c r="AY41" s="19">
        <f t="shared" si="50"/>
        <v>-630464380.54648852</v>
      </c>
      <c r="AZ41" s="19">
        <f t="shared" si="51"/>
        <v>-599147888.43005836</v>
      </c>
      <c r="BA41" s="19">
        <f t="shared" si="52"/>
        <v>-569926744.79824197</v>
      </c>
      <c r="BB41" s="19">
        <f t="shared" si="53"/>
        <v>-542855510.54648411</v>
      </c>
      <c r="BC41" s="19">
        <f t="shared" si="54"/>
        <v>-517964852.45254695</v>
      </c>
      <c r="BD41" s="19">
        <f t="shared" si="55"/>
        <v>-495261376.31389606</v>
      </c>
      <c r="BE41" s="19">
        <f t="shared" si="56"/>
        <v>-474727730.82249683</v>
      </c>
      <c r="BF41" s="19">
        <f t="shared" si="57"/>
        <v>-456322973.31982815</v>
      </c>
      <c r="BG41" s="19">
        <f t="shared" si="58"/>
        <v>-439983185.76432878</v>
      </c>
      <c r="BH41" s="19">
        <f t="shared" si="59"/>
        <v>-425622326.8939296</v>
      </c>
      <c r="BI41" s="19">
        <f t="shared" si="60"/>
        <v>-413133304.68341392</v>
      </c>
      <c r="BJ41" s="19">
        <f t="shared" si="61"/>
        <v>-402389251.76731354</v>
      </c>
      <c r="BK41" s="19">
        <f t="shared" si="62"/>
        <v>-393244985.49469203</v>
      </c>
      <c r="BL41" s="19">
        <f t="shared" si="63"/>
        <v>-385538633.65917021</v>
      </c>
      <c r="BM41" s="19">
        <f t="shared" si="64"/>
        <v>-379093406.65162784</v>
      </c>
      <c r="BN41" s="19">
        <f t="shared" si="65"/>
        <v>-373719496.75191712</v>
      </c>
      <c r="BO41" s="19">
        <f t="shared" si="66"/>
        <v>-369216085.44317728</v>
      </c>
      <c r="BP41" s="19">
        <f t="shared" si="67"/>
        <v>-365373439.93044239</v>
      </c>
      <c r="BQ41" s="19">
        <f t="shared" si="68"/>
        <v>-361975080.4092049</v>
      </c>
      <c r="BR41" s="18">
        <f t="shared" si="69"/>
        <v>-358800000</v>
      </c>
      <c r="BT41" s="52"/>
      <c r="BU41" s="22">
        <v>9.3333333333333338E-2</v>
      </c>
      <c r="BV41" s="18">
        <v>0</v>
      </c>
      <c r="BW41" s="20">
        <f t="shared" ref="BW41:CY41" si="105">$B$20/($B$21-$B$22*BV41)</f>
        <v>0.34883720930232553</v>
      </c>
      <c r="BX41" s="20">
        <f t="shared" si="105"/>
        <v>0.39716748768472904</v>
      </c>
      <c r="BY41" s="20">
        <f t="shared" si="105"/>
        <v>0.40494040593779607</v>
      </c>
      <c r="BZ41" s="20">
        <f t="shared" si="105"/>
        <v>0.4062190081621499</v>
      </c>
      <c r="CA41" s="20">
        <f t="shared" si="105"/>
        <v>0.40643010492156101</v>
      </c>
      <c r="CB41" s="20">
        <f t="shared" si="105"/>
        <v>0.40646497802255066</v>
      </c>
      <c r="CC41" s="20">
        <f t="shared" si="105"/>
        <v>0.40647073962099717</v>
      </c>
      <c r="CD41" s="20">
        <f t="shared" si="105"/>
        <v>0.40647169154566137</v>
      </c>
      <c r="CE41" s="20">
        <f t="shared" si="105"/>
        <v>0.40647184882198806</v>
      </c>
      <c r="CF41" s="20">
        <f t="shared" si="105"/>
        <v>0.40647187480708435</v>
      </c>
      <c r="CG41" s="20">
        <f t="shared" si="105"/>
        <v>0.40647187910032606</v>
      </c>
      <c r="CH41" s="20">
        <f t="shared" si="105"/>
        <v>0.40647187980965277</v>
      </c>
      <c r="CI41" s="20">
        <f t="shared" si="105"/>
        <v>0.4064718799268473</v>
      </c>
      <c r="CJ41" s="20">
        <f t="shared" si="105"/>
        <v>0.40647187994621015</v>
      </c>
      <c r="CK41" s="20">
        <f t="shared" si="105"/>
        <v>0.40647187994940925</v>
      </c>
      <c r="CL41" s="20">
        <f t="shared" si="105"/>
        <v>0.40647187994993778</v>
      </c>
      <c r="CM41" s="20">
        <f t="shared" si="105"/>
        <v>0.40647187995002515</v>
      </c>
      <c r="CN41" s="20">
        <f t="shared" si="105"/>
        <v>0.40647187995003953</v>
      </c>
      <c r="CO41" s="20">
        <f t="shared" si="105"/>
        <v>0.40647187995004191</v>
      </c>
      <c r="CP41" s="20">
        <f t="shared" si="105"/>
        <v>0.40647187995004236</v>
      </c>
      <c r="CQ41" s="20">
        <f t="shared" si="105"/>
        <v>0.40647187995004236</v>
      </c>
      <c r="CR41" s="20">
        <f t="shared" si="105"/>
        <v>0.40647187995004236</v>
      </c>
      <c r="CS41" s="20">
        <f t="shared" si="105"/>
        <v>0.40647187995004236</v>
      </c>
      <c r="CT41" s="20">
        <f t="shared" si="105"/>
        <v>0.40647187995004236</v>
      </c>
      <c r="CU41" s="20">
        <f t="shared" si="105"/>
        <v>0.40647187995004236</v>
      </c>
      <c r="CV41" s="20">
        <f t="shared" si="105"/>
        <v>0.40647187995004236</v>
      </c>
      <c r="CW41" s="20">
        <f t="shared" si="105"/>
        <v>0.40647187995004236</v>
      </c>
      <c r="CX41" s="20">
        <f t="shared" si="105"/>
        <v>0.40647187995004236</v>
      </c>
      <c r="CY41" s="18">
        <f t="shared" si="105"/>
        <v>0.40647187995004236</v>
      </c>
      <c r="CZ41" s="12">
        <f t="shared" si="71"/>
        <v>100</v>
      </c>
      <c r="DB41" s="52"/>
      <c r="DC41" s="22">
        <v>9.3333333333333338E-2</v>
      </c>
      <c r="DD41" s="18">
        <f t="shared" si="72"/>
        <v>300</v>
      </c>
      <c r="DE41" s="20">
        <f t="shared" si="73"/>
        <v>191.56464565144148</v>
      </c>
      <c r="DF41" s="20">
        <f t="shared" si="74"/>
        <v>170.75228843807849</v>
      </c>
      <c r="DG41" s="20">
        <f t="shared" si="75"/>
        <v>161.34189996923888</v>
      </c>
      <c r="DH41" s="20">
        <f t="shared" si="76"/>
        <v>153.75842356662841</v>
      </c>
      <c r="DI41" s="20">
        <f t="shared" si="77"/>
        <v>146.57294666440865</v>
      </c>
      <c r="DJ41" s="20">
        <f t="shared" si="78"/>
        <v>139.59086949079173</v>
      </c>
      <c r="DK41" s="20">
        <f t="shared" si="79"/>
        <v>132.80941631209845</v>
      </c>
      <c r="DL41" s="20">
        <f t="shared" si="80"/>
        <v>126.25405078736028</v>
      </c>
      <c r="DM41" s="20">
        <f t="shared" si="81"/>
        <v>119.95243496539662</v>
      </c>
      <c r="DN41" s="20">
        <f t="shared" si="82"/>
        <v>113.93006954498317</v>
      </c>
      <c r="DO41" s="20">
        <f t="shared" si="83"/>
        <v>108.20937947005605</v>
      </c>
      <c r="DP41" s="20">
        <f t="shared" si="84"/>
        <v>102.80937628578286</v>
      </c>
      <c r="DQ41" s="20">
        <f t="shared" si="85"/>
        <v>97.745447839155474</v>
      </c>
      <c r="DR41" s="20">
        <f t="shared" si="86"/>
        <v>93.02920586955635</v>
      </c>
      <c r="DS41" s="20">
        <f t="shared" si="87"/>
        <v>88.668381157512513</v>
      </c>
      <c r="DT41" s="20">
        <f t="shared" si="88"/>
        <v>84.666764619111021</v>
      </c>
      <c r="DU41" s="20">
        <f t="shared" si="89"/>
        <v>81.02419357624575</v>
      </c>
      <c r="DV41" s="20">
        <f t="shared" si="90"/>
        <v>77.736582088648461</v>
      </c>
      <c r="DW41" s="20">
        <f t="shared" si="91"/>
        <v>74.79599376005676</v>
      </c>
      <c r="DX41" s="20">
        <f t="shared" si="92"/>
        <v>72.190754998625167</v>
      </c>
      <c r="DY41" s="20">
        <f t="shared" si="93"/>
        <v>69.905606349700449</v>
      </c>
      <c r="DZ41" s="20">
        <f t="shared" si="94"/>
        <v>67.921889231418774</v>
      </c>
      <c r="EA41" s="20">
        <f t="shared" si="95"/>
        <v>66.217765188009523</v>
      </c>
      <c r="EB41" s="20">
        <f t="shared" si="96"/>
        <v>64.768464626894911</v>
      </c>
      <c r="EC41" s="20">
        <f t="shared" si="97"/>
        <v>63.546561916138245</v>
      </c>
      <c r="ED41" s="20">
        <f t="shared" si="98"/>
        <v>62.522273679345773</v>
      </c>
      <c r="EE41" s="20">
        <f t="shared" si="99"/>
        <v>61.663777125514478</v>
      </c>
      <c r="EF41" s="20">
        <f t="shared" si="100"/>
        <v>60.937545280743464</v>
      </c>
      <c r="EG41" s="20">
        <f t="shared" si="101"/>
        <v>60.30869603642234</v>
      </c>
      <c r="EH41" s="18">
        <f t="shared" si="102"/>
        <v>59.741351984263929</v>
      </c>
    </row>
    <row r="42" spans="5:138" x14ac:dyDescent="0.3">
      <c r="E42" s="54"/>
      <c r="F42" s="22">
        <v>9.0000000000000011E-2</v>
      </c>
      <c r="G42" s="15">
        <f t="shared" si="10"/>
        <v>300</v>
      </c>
      <c r="H42" s="16">
        <f t="shared" si="11"/>
        <v>287.55731592280466</v>
      </c>
      <c r="I42" s="16">
        <f t="shared" si="12"/>
        <v>275.17898811124115</v>
      </c>
      <c r="J42" s="16">
        <f t="shared" si="13"/>
        <v>262.92862057242814</v>
      </c>
      <c r="K42" s="16">
        <f t="shared" si="14"/>
        <v>250.86832312504339</v>
      </c>
      <c r="L42" s="16">
        <f t="shared" si="15"/>
        <v>239.05798991969311</v>
      </c>
      <c r="M42" s="16">
        <f t="shared" si="16"/>
        <v>227.55460812415367</v>
      </c>
      <c r="N42" s="16">
        <f t="shared" si="17"/>
        <v>216.41160589358753</v>
      </c>
      <c r="O42" s="16">
        <f t="shared" si="18"/>
        <v>205.678247982725</v>
      </c>
      <c r="P42" s="16">
        <f t="shared" si="19"/>
        <v>195.39908644890835</v>
      </c>
      <c r="Q42" s="16">
        <f t="shared" si="20"/>
        <v>185.61347286944132</v>
      </c>
      <c r="R42" s="16">
        <f t="shared" si="21"/>
        <v>176.35513738430197</v>
      </c>
      <c r="S42" s="16">
        <f t="shared" si="22"/>
        <v>167.65183870795173</v>
      </c>
      <c r="T42" s="16">
        <f t="shared" si="23"/>
        <v>159.52508806398617</v>
      </c>
      <c r="U42" s="16">
        <f t="shared" si="24"/>
        <v>151.9899488150304</v>
      </c>
      <c r="V42" s="16">
        <f t="shared" si="25"/>
        <v>145.05491241676188</v>
      </c>
      <c r="W42" s="16">
        <f t="shared" si="26"/>
        <v>138.72185024525535</v>
      </c>
      <c r="X42" s="16">
        <f t="shared" si="27"/>
        <v>132.98603985299525</v>
      </c>
      <c r="Y42" s="16">
        <f t="shared" si="28"/>
        <v>127.83626331823518</v>
      </c>
      <c r="Z42" s="16">
        <f t="shared" si="29"/>
        <v>123.25497457719484</v>
      </c>
      <c r="AA42" s="16">
        <f t="shared" si="30"/>
        <v>119.21853197592419</v>
      </c>
      <c r="AB42" s="16">
        <f t="shared" si="31"/>
        <v>115.69749175042318</v>
      </c>
      <c r="AC42" s="16">
        <f t="shared" si="32"/>
        <v>112.6569577367832</v>
      </c>
      <c r="AD42" s="16">
        <f t="shared" si="33"/>
        <v>110.05698232030862</v>
      </c>
      <c r="AE42" s="16">
        <f t="shared" si="34"/>
        <v>107.85301344262038</v>
      </c>
      <c r="AF42" s="16">
        <f t="shared" si="35"/>
        <v>105.99638238448573</v>
      </c>
      <c r="AG42" s="16">
        <f t="shared" si="36"/>
        <v>104.43482701328516</v>
      </c>
      <c r="AH42" s="16">
        <f t="shared" si="37"/>
        <v>103.11304521014017</v>
      </c>
      <c r="AI42" s="16">
        <f t="shared" si="38"/>
        <v>101.9732732550159</v>
      </c>
      <c r="AJ42" s="16">
        <f t="shared" si="103"/>
        <v>100.95588403142658</v>
      </c>
      <c r="AK42" s="15">
        <f t="shared" si="39"/>
        <v>100</v>
      </c>
      <c r="AL42" s="52"/>
      <c r="AM42" s="13">
        <v>9.0000000000000011E-2</v>
      </c>
      <c r="AN42" s="18">
        <f t="shared" si="40"/>
        <v>-1076400000</v>
      </c>
      <c r="AO42" s="19">
        <f t="shared" si="104"/>
        <v>-1031489214.5913075</v>
      </c>
      <c r="AP42" s="19">
        <f t="shared" si="41"/>
        <v>-986812453.81394601</v>
      </c>
      <c r="AQ42" s="19">
        <f t="shared" si="42"/>
        <v>-942601000.43535936</v>
      </c>
      <c r="AR42" s="19">
        <f t="shared" si="43"/>
        <v>-899080691.41063297</v>
      </c>
      <c r="AS42" s="19">
        <f t="shared" si="44"/>
        <v>-856469288.99524236</v>
      </c>
      <c r="AT42" s="19">
        <f t="shared" si="45"/>
        <v>-814973962.55047393</v>
      </c>
      <c r="AU42" s="19">
        <f t="shared" si="46"/>
        <v>-774788914.46261895</v>
      </c>
      <c r="AV42" s="19">
        <f t="shared" si="47"/>
        <v>-736093180.76104724</v>
      </c>
      <c r="AW42" s="19">
        <f t="shared" si="48"/>
        <v>-699048633.64767575</v>
      </c>
      <c r="AX42" s="19">
        <f t="shared" si="49"/>
        <v>-663798209.34503889</v>
      </c>
      <c r="AY42" s="19">
        <f t="shared" si="50"/>
        <v>-630464380.54648852</v>
      </c>
      <c r="AZ42" s="19">
        <f t="shared" si="51"/>
        <v>-599147888.43005836</v>
      </c>
      <c r="BA42" s="19">
        <f t="shared" si="52"/>
        <v>-569926744.79824197</v>
      </c>
      <c r="BB42" s="19">
        <f t="shared" si="53"/>
        <v>-542855510.54648411</v>
      </c>
      <c r="BC42" s="19">
        <f t="shared" si="54"/>
        <v>-517964852.45254695</v>
      </c>
      <c r="BD42" s="19">
        <f t="shared" si="55"/>
        <v>-495261376.31389606</v>
      </c>
      <c r="BE42" s="19">
        <f t="shared" si="56"/>
        <v>-474727730.82249683</v>
      </c>
      <c r="BF42" s="19">
        <f t="shared" si="57"/>
        <v>-456322973.31982815</v>
      </c>
      <c r="BG42" s="19">
        <f t="shared" si="58"/>
        <v>-439983185.76432878</v>
      </c>
      <c r="BH42" s="19">
        <f t="shared" si="59"/>
        <v>-425622326.8939296</v>
      </c>
      <c r="BI42" s="19">
        <f t="shared" si="60"/>
        <v>-413133304.68341392</v>
      </c>
      <c r="BJ42" s="19">
        <f t="shared" si="61"/>
        <v>-402389251.76731354</v>
      </c>
      <c r="BK42" s="19">
        <f t="shared" si="62"/>
        <v>-393244985.49469203</v>
      </c>
      <c r="BL42" s="19">
        <f t="shared" si="63"/>
        <v>-385538633.65917021</v>
      </c>
      <c r="BM42" s="19">
        <f t="shared" si="64"/>
        <v>-379093406.65162784</v>
      </c>
      <c r="BN42" s="19">
        <f t="shared" si="65"/>
        <v>-373719496.75191712</v>
      </c>
      <c r="BO42" s="19">
        <f t="shared" si="66"/>
        <v>-369216085.44317728</v>
      </c>
      <c r="BP42" s="19">
        <f t="shared" si="67"/>
        <v>-365373439.93044239</v>
      </c>
      <c r="BQ42" s="19">
        <f t="shared" si="68"/>
        <v>-361975080.4092049</v>
      </c>
      <c r="BR42" s="18">
        <f t="shared" si="69"/>
        <v>-358800000</v>
      </c>
      <c r="BT42" s="52"/>
      <c r="BU42" s="22">
        <v>9.0000000000000011E-2</v>
      </c>
      <c r="BV42" s="18">
        <v>0</v>
      </c>
      <c r="BW42" s="20">
        <f t="shared" ref="BW42:CY42" si="106">$B$20/($B$21-$B$22*BV42)</f>
        <v>0.34883720930232553</v>
      </c>
      <c r="BX42" s="20">
        <f t="shared" si="106"/>
        <v>0.39716748768472904</v>
      </c>
      <c r="BY42" s="20">
        <f t="shared" si="106"/>
        <v>0.40494040593779607</v>
      </c>
      <c r="BZ42" s="20">
        <f t="shared" si="106"/>
        <v>0.4062190081621499</v>
      </c>
      <c r="CA42" s="20">
        <f t="shared" si="106"/>
        <v>0.40643010492156101</v>
      </c>
      <c r="CB42" s="20">
        <f t="shared" si="106"/>
        <v>0.40646497802255066</v>
      </c>
      <c r="CC42" s="20">
        <f t="shared" si="106"/>
        <v>0.40647073962099717</v>
      </c>
      <c r="CD42" s="20">
        <f t="shared" si="106"/>
        <v>0.40647169154566137</v>
      </c>
      <c r="CE42" s="20">
        <f t="shared" si="106"/>
        <v>0.40647184882198806</v>
      </c>
      <c r="CF42" s="20">
        <f t="shared" si="106"/>
        <v>0.40647187480708435</v>
      </c>
      <c r="CG42" s="20">
        <f t="shared" si="106"/>
        <v>0.40647187910032606</v>
      </c>
      <c r="CH42" s="20">
        <f t="shared" si="106"/>
        <v>0.40647187980965277</v>
      </c>
      <c r="CI42" s="20">
        <f t="shared" si="106"/>
        <v>0.4064718799268473</v>
      </c>
      <c r="CJ42" s="20">
        <f t="shared" si="106"/>
        <v>0.40647187994621015</v>
      </c>
      <c r="CK42" s="20">
        <f t="shared" si="106"/>
        <v>0.40647187994940925</v>
      </c>
      <c r="CL42" s="20">
        <f t="shared" si="106"/>
        <v>0.40647187994993778</v>
      </c>
      <c r="CM42" s="20">
        <f t="shared" si="106"/>
        <v>0.40647187995002515</v>
      </c>
      <c r="CN42" s="20">
        <f t="shared" si="106"/>
        <v>0.40647187995003953</v>
      </c>
      <c r="CO42" s="20">
        <f t="shared" si="106"/>
        <v>0.40647187995004191</v>
      </c>
      <c r="CP42" s="20">
        <f t="shared" si="106"/>
        <v>0.40647187995004236</v>
      </c>
      <c r="CQ42" s="20">
        <f t="shared" si="106"/>
        <v>0.40647187995004236</v>
      </c>
      <c r="CR42" s="20">
        <f t="shared" si="106"/>
        <v>0.40647187995004236</v>
      </c>
      <c r="CS42" s="20">
        <f t="shared" si="106"/>
        <v>0.40647187995004236</v>
      </c>
      <c r="CT42" s="20">
        <f t="shared" si="106"/>
        <v>0.40647187995004236</v>
      </c>
      <c r="CU42" s="20">
        <f t="shared" si="106"/>
        <v>0.40647187995004236</v>
      </c>
      <c r="CV42" s="20">
        <f t="shared" si="106"/>
        <v>0.40647187995004236</v>
      </c>
      <c r="CW42" s="20">
        <f t="shared" si="106"/>
        <v>0.40647187995004236</v>
      </c>
      <c r="CX42" s="20">
        <f t="shared" si="106"/>
        <v>0.40647187995004236</v>
      </c>
      <c r="CY42" s="18">
        <f t="shared" si="106"/>
        <v>0.40647187995004236</v>
      </c>
      <c r="CZ42" s="12">
        <f t="shared" si="71"/>
        <v>100</v>
      </c>
      <c r="DB42" s="52"/>
      <c r="DC42" s="22">
        <v>9.0000000000000011E-2</v>
      </c>
      <c r="DD42" s="18">
        <f t="shared" si="72"/>
        <v>300</v>
      </c>
      <c r="DE42" s="20">
        <f t="shared" si="73"/>
        <v>191.56464565144148</v>
      </c>
      <c r="DF42" s="20">
        <f t="shared" si="74"/>
        <v>170.75228843807849</v>
      </c>
      <c r="DG42" s="20">
        <f t="shared" si="75"/>
        <v>161.34189996923888</v>
      </c>
      <c r="DH42" s="20">
        <f t="shared" si="76"/>
        <v>153.75842356662841</v>
      </c>
      <c r="DI42" s="20">
        <f t="shared" si="77"/>
        <v>146.57294666440865</v>
      </c>
      <c r="DJ42" s="20">
        <f t="shared" si="78"/>
        <v>139.59086949079173</v>
      </c>
      <c r="DK42" s="20">
        <f t="shared" si="79"/>
        <v>132.80941631209845</v>
      </c>
      <c r="DL42" s="20">
        <f t="shared" si="80"/>
        <v>126.25405078736028</v>
      </c>
      <c r="DM42" s="20">
        <f t="shared" si="81"/>
        <v>119.95243496539662</v>
      </c>
      <c r="DN42" s="20">
        <f t="shared" si="82"/>
        <v>113.93006954498317</v>
      </c>
      <c r="DO42" s="20">
        <f t="shared" si="83"/>
        <v>108.20937947005605</v>
      </c>
      <c r="DP42" s="20">
        <f t="shared" si="84"/>
        <v>102.80937628578286</v>
      </c>
      <c r="DQ42" s="20">
        <f t="shared" si="85"/>
        <v>97.745447839155474</v>
      </c>
      <c r="DR42" s="20">
        <f t="shared" si="86"/>
        <v>93.02920586955635</v>
      </c>
      <c r="DS42" s="20">
        <f t="shared" si="87"/>
        <v>88.668381157512513</v>
      </c>
      <c r="DT42" s="20">
        <f t="shared" si="88"/>
        <v>84.666764619111021</v>
      </c>
      <c r="DU42" s="20">
        <f t="shared" si="89"/>
        <v>81.02419357624575</v>
      </c>
      <c r="DV42" s="20">
        <f t="shared" si="90"/>
        <v>77.736582088648461</v>
      </c>
      <c r="DW42" s="20">
        <f t="shared" si="91"/>
        <v>74.79599376005676</v>
      </c>
      <c r="DX42" s="20">
        <f t="shared" si="92"/>
        <v>72.190754998625167</v>
      </c>
      <c r="DY42" s="20">
        <f t="shared" si="93"/>
        <v>69.905606349700449</v>
      </c>
      <c r="DZ42" s="20">
        <f t="shared" si="94"/>
        <v>67.921889231418774</v>
      </c>
      <c r="EA42" s="20">
        <f t="shared" si="95"/>
        <v>66.217765188009523</v>
      </c>
      <c r="EB42" s="20">
        <f t="shared" si="96"/>
        <v>64.768464626894911</v>
      </c>
      <c r="EC42" s="20">
        <f t="shared" si="97"/>
        <v>63.546561916138245</v>
      </c>
      <c r="ED42" s="20">
        <f t="shared" si="98"/>
        <v>62.522273679345773</v>
      </c>
      <c r="EE42" s="20">
        <f t="shared" si="99"/>
        <v>61.663777125514478</v>
      </c>
      <c r="EF42" s="20">
        <f t="shared" si="100"/>
        <v>60.937545280743464</v>
      </c>
      <c r="EG42" s="20">
        <f t="shared" si="101"/>
        <v>60.30869603642234</v>
      </c>
      <c r="EH42" s="18">
        <f t="shared" si="102"/>
        <v>59.741351984263929</v>
      </c>
    </row>
    <row r="43" spans="5:138" x14ac:dyDescent="0.3">
      <c r="E43" s="54"/>
      <c r="F43" s="22">
        <v>8.666666666666667E-2</v>
      </c>
      <c r="G43" s="15">
        <f t="shared" si="10"/>
        <v>300</v>
      </c>
      <c r="H43" s="16">
        <f t="shared" si="11"/>
        <v>287.55731592280466</v>
      </c>
      <c r="I43" s="16">
        <f t="shared" si="12"/>
        <v>275.17898811124115</v>
      </c>
      <c r="J43" s="16">
        <f t="shared" si="13"/>
        <v>262.92862057242814</v>
      </c>
      <c r="K43" s="16">
        <f t="shared" si="14"/>
        <v>250.86832312504339</v>
      </c>
      <c r="L43" s="16">
        <f t="shared" si="15"/>
        <v>239.05798991969311</v>
      </c>
      <c r="M43" s="16">
        <f t="shared" si="16"/>
        <v>227.55460812415367</v>
      </c>
      <c r="N43" s="16">
        <f t="shared" si="17"/>
        <v>216.41160589358753</v>
      </c>
      <c r="O43" s="16">
        <f t="shared" si="18"/>
        <v>205.678247982725</v>
      </c>
      <c r="P43" s="16">
        <f t="shared" si="19"/>
        <v>195.39908644890835</v>
      </c>
      <c r="Q43" s="16">
        <f t="shared" si="20"/>
        <v>185.61347286944132</v>
      </c>
      <c r="R43" s="16">
        <f t="shared" si="21"/>
        <v>176.35513738430197</v>
      </c>
      <c r="S43" s="16">
        <f t="shared" si="22"/>
        <v>167.65183870795173</v>
      </c>
      <c r="T43" s="16">
        <f t="shared" si="23"/>
        <v>159.52508806398617</v>
      </c>
      <c r="U43" s="16">
        <f t="shared" si="24"/>
        <v>151.9899488150304</v>
      </c>
      <c r="V43" s="16">
        <f t="shared" si="25"/>
        <v>145.05491241676188</v>
      </c>
      <c r="W43" s="16">
        <f t="shared" si="26"/>
        <v>138.72185024525535</v>
      </c>
      <c r="X43" s="16">
        <f t="shared" si="27"/>
        <v>132.98603985299525</v>
      </c>
      <c r="Y43" s="16">
        <f t="shared" si="28"/>
        <v>127.83626331823518</v>
      </c>
      <c r="Z43" s="16">
        <f t="shared" si="29"/>
        <v>123.25497457719484</v>
      </c>
      <c r="AA43" s="16">
        <f t="shared" si="30"/>
        <v>119.21853197592419</v>
      </c>
      <c r="AB43" s="16">
        <f t="shared" si="31"/>
        <v>115.69749175042318</v>
      </c>
      <c r="AC43" s="16">
        <f t="shared" si="32"/>
        <v>112.6569577367832</v>
      </c>
      <c r="AD43" s="16">
        <f t="shared" si="33"/>
        <v>110.05698232030862</v>
      </c>
      <c r="AE43" s="16">
        <f t="shared" si="34"/>
        <v>107.85301344262038</v>
      </c>
      <c r="AF43" s="16">
        <f t="shared" si="35"/>
        <v>105.99638238448573</v>
      </c>
      <c r="AG43" s="16">
        <f t="shared" si="36"/>
        <v>104.43482701328516</v>
      </c>
      <c r="AH43" s="16">
        <f t="shared" si="37"/>
        <v>103.11304521014017</v>
      </c>
      <c r="AI43" s="16">
        <f t="shared" si="38"/>
        <v>101.9732732550159</v>
      </c>
      <c r="AJ43" s="16">
        <f t="shared" si="103"/>
        <v>100.95588403142658</v>
      </c>
      <c r="AK43" s="15">
        <f t="shared" si="39"/>
        <v>100</v>
      </c>
      <c r="AL43" s="52"/>
      <c r="AM43" s="13">
        <v>8.666666666666667E-2</v>
      </c>
      <c r="AN43" s="18">
        <f t="shared" si="40"/>
        <v>-1076400000</v>
      </c>
      <c r="AO43" s="19">
        <f t="shared" si="104"/>
        <v>-1031489214.5913075</v>
      </c>
      <c r="AP43" s="19">
        <f t="shared" si="41"/>
        <v>-986812453.81394601</v>
      </c>
      <c r="AQ43" s="19">
        <f t="shared" si="42"/>
        <v>-942601000.43535936</v>
      </c>
      <c r="AR43" s="19">
        <f t="shared" si="43"/>
        <v>-899080691.41063297</v>
      </c>
      <c r="AS43" s="19">
        <f t="shared" si="44"/>
        <v>-856469288.99524236</v>
      </c>
      <c r="AT43" s="19">
        <f t="shared" si="45"/>
        <v>-814973962.55047393</v>
      </c>
      <c r="AU43" s="19">
        <f t="shared" si="46"/>
        <v>-774788914.46261895</v>
      </c>
      <c r="AV43" s="19">
        <f t="shared" si="47"/>
        <v>-736093180.76104724</v>
      </c>
      <c r="AW43" s="19">
        <f t="shared" si="48"/>
        <v>-699048633.64767575</v>
      </c>
      <c r="AX43" s="19">
        <f t="shared" si="49"/>
        <v>-663798209.34503889</v>
      </c>
      <c r="AY43" s="19">
        <f t="shared" si="50"/>
        <v>-630464380.54648852</v>
      </c>
      <c r="AZ43" s="19">
        <f t="shared" si="51"/>
        <v>-599147888.43005836</v>
      </c>
      <c r="BA43" s="19">
        <f t="shared" si="52"/>
        <v>-569926744.79824197</v>
      </c>
      <c r="BB43" s="19">
        <f t="shared" si="53"/>
        <v>-542855510.54648411</v>
      </c>
      <c r="BC43" s="19">
        <f t="shared" si="54"/>
        <v>-517964852.45254695</v>
      </c>
      <c r="BD43" s="19">
        <f t="shared" si="55"/>
        <v>-495261376.31389606</v>
      </c>
      <c r="BE43" s="19">
        <f t="shared" si="56"/>
        <v>-474727730.82249683</v>
      </c>
      <c r="BF43" s="19">
        <f t="shared" si="57"/>
        <v>-456322973.31982815</v>
      </c>
      <c r="BG43" s="19">
        <f t="shared" si="58"/>
        <v>-439983185.76432878</v>
      </c>
      <c r="BH43" s="19">
        <f t="shared" si="59"/>
        <v>-425622326.8939296</v>
      </c>
      <c r="BI43" s="19">
        <f t="shared" si="60"/>
        <v>-413133304.68341392</v>
      </c>
      <c r="BJ43" s="19">
        <f t="shared" si="61"/>
        <v>-402389251.76731354</v>
      </c>
      <c r="BK43" s="19">
        <f t="shared" si="62"/>
        <v>-393244985.49469203</v>
      </c>
      <c r="BL43" s="19">
        <f t="shared" si="63"/>
        <v>-385538633.65917021</v>
      </c>
      <c r="BM43" s="19">
        <f t="shared" si="64"/>
        <v>-379093406.65162784</v>
      </c>
      <c r="BN43" s="19">
        <f t="shared" si="65"/>
        <v>-373719496.75191712</v>
      </c>
      <c r="BO43" s="19">
        <f t="shared" si="66"/>
        <v>-369216085.44317728</v>
      </c>
      <c r="BP43" s="19">
        <f t="shared" si="67"/>
        <v>-365373439.93044239</v>
      </c>
      <c r="BQ43" s="19">
        <f t="shared" si="68"/>
        <v>-361975080.4092049</v>
      </c>
      <c r="BR43" s="18">
        <f t="shared" si="69"/>
        <v>-358800000</v>
      </c>
      <c r="BT43" s="52"/>
      <c r="BU43" s="22">
        <v>8.666666666666667E-2</v>
      </c>
      <c r="BV43" s="18">
        <v>0</v>
      </c>
      <c r="BW43" s="20">
        <f t="shared" ref="BW43:CY43" si="107">$B$20/($B$21-$B$22*BV43)</f>
        <v>0.34883720930232553</v>
      </c>
      <c r="BX43" s="20">
        <f t="shared" si="107"/>
        <v>0.39716748768472904</v>
      </c>
      <c r="BY43" s="20">
        <f t="shared" si="107"/>
        <v>0.40494040593779607</v>
      </c>
      <c r="BZ43" s="20">
        <f t="shared" si="107"/>
        <v>0.4062190081621499</v>
      </c>
      <c r="CA43" s="20">
        <f t="shared" si="107"/>
        <v>0.40643010492156101</v>
      </c>
      <c r="CB43" s="20">
        <f t="shared" si="107"/>
        <v>0.40646497802255066</v>
      </c>
      <c r="CC43" s="20">
        <f t="shared" si="107"/>
        <v>0.40647073962099717</v>
      </c>
      <c r="CD43" s="20">
        <f t="shared" si="107"/>
        <v>0.40647169154566137</v>
      </c>
      <c r="CE43" s="20">
        <f t="shared" si="107"/>
        <v>0.40647184882198806</v>
      </c>
      <c r="CF43" s="20">
        <f t="shared" si="107"/>
        <v>0.40647187480708435</v>
      </c>
      <c r="CG43" s="20">
        <f t="shared" si="107"/>
        <v>0.40647187910032606</v>
      </c>
      <c r="CH43" s="20">
        <f t="shared" si="107"/>
        <v>0.40647187980965277</v>
      </c>
      <c r="CI43" s="20">
        <f t="shared" si="107"/>
        <v>0.4064718799268473</v>
      </c>
      <c r="CJ43" s="20">
        <f t="shared" si="107"/>
        <v>0.40647187994621015</v>
      </c>
      <c r="CK43" s="20">
        <f t="shared" si="107"/>
        <v>0.40647187994940925</v>
      </c>
      <c r="CL43" s="20">
        <f t="shared" si="107"/>
        <v>0.40647187994993778</v>
      </c>
      <c r="CM43" s="20">
        <f t="shared" si="107"/>
        <v>0.40647187995002515</v>
      </c>
      <c r="CN43" s="20">
        <f t="shared" si="107"/>
        <v>0.40647187995003953</v>
      </c>
      <c r="CO43" s="20">
        <f t="shared" si="107"/>
        <v>0.40647187995004191</v>
      </c>
      <c r="CP43" s="20">
        <f t="shared" si="107"/>
        <v>0.40647187995004236</v>
      </c>
      <c r="CQ43" s="20">
        <f t="shared" si="107"/>
        <v>0.40647187995004236</v>
      </c>
      <c r="CR43" s="20">
        <f t="shared" si="107"/>
        <v>0.40647187995004236</v>
      </c>
      <c r="CS43" s="20">
        <f t="shared" si="107"/>
        <v>0.40647187995004236</v>
      </c>
      <c r="CT43" s="20">
        <f t="shared" si="107"/>
        <v>0.40647187995004236</v>
      </c>
      <c r="CU43" s="20">
        <f t="shared" si="107"/>
        <v>0.40647187995004236</v>
      </c>
      <c r="CV43" s="20">
        <f t="shared" si="107"/>
        <v>0.40647187995004236</v>
      </c>
      <c r="CW43" s="20">
        <f t="shared" si="107"/>
        <v>0.40647187995004236</v>
      </c>
      <c r="CX43" s="20">
        <f t="shared" si="107"/>
        <v>0.40647187995004236</v>
      </c>
      <c r="CY43" s="18">
        <f t="shared" si="107"/>
        <v>0.40647187995004236</v>
      </c>
      <c r="CZ43" s="12">
        <f t="shared" si="71"/>
        <v>100</v>
      </c>
      <c r="DB43" s="52"/>
      <c r="DC43" s="22">
        <v>8.666666666666667E-2</v>
      </c>
      <c r="DD43" s="18">
        <f t="shared" si="72"/>
        <v>300</v>
      </c>
      <c r="DE43" s="20">
        <f t="shared" si="73"/>
        <v>191.56464565144148</v>
      </c>
      <c r="DF43" s="20">
        <f t="shared" si="74"/>
        <v>170.75228843807849</v>
      </c>
      <c r="DG43" s="20">
        <f t="shared" si="75"/>
        <v>161.34189996923888</v>
      </c>
      <c r="DH43" s="20">
        <f t="shared" si="76"/>
        <v>153.75842356662841</v>
      </c>
      <c r="DI43" s="20">
        <f t="shared" si="77"/>
        <v>146.57294666440865</v>
      </c>
      <c r="DJ43" s="20">
        <f t="shared" si="78"/>
        <v>139.59086949079173</v>
      </c>
      <c r="DK43" s="20">
        <f t="shared" si="79"/>
        <v>132.80941631209845</v>
      </c>
      <c r="DL43" s="20">
        <f t="shared" si="80"/>
        <v>126.25405078736028</v>
      </c>
      <c r="DM43" s="20">
        <f t="shared" si="81"/>
        <v>119.95243496539662</v>
      </c>
      <c r="DN43" s="20">
        <f t="shared" si="82"/>
        <v>113.93006954498317</v>
      </c>
      <c r="DO43" s="20">
        <f t="shared" si="83"/>
        <v>108.20937947005605</v>
      </c>
      <c r="DP43" s="20">
        <f t="shared" si="84"/>
        <v>102.80937628578286</v>
      </c>
      <c r="DQ43" s="20">
        <f t="shared" si="85"/>
        <v>97.745447839155474</v>
      </c>
      <c r="DR43" s="20">
        <f t="shared" si="86"/>
        <v>93.02920586955635</v>
      </c>
      <c r="DS43" s="20">
        <f t="shared" si="87"/>
        <v>88.668381157512513</v>
      </c>
      <c r="DT43" s="20">
        <f t="shared" si="88"/>
        <v>84.666764619111021</v>
      </c>
      <c r="DU43" s="20">
        <f t="shared" si="89"/>
        <v>81.02419357624575</v>
      </c>
      <c r="DV43" s="20">
        <f t="shared" si="90"/>
        <v>77.736582088648461</v>
      </c>
      <c r="DW43" s="20">
        <f t="shared" si="91"/>
        <v>74.79599376005676</v>
      </c>
      <c r="DX43" s="20">
        <f t="shared" si="92"/>
        <v>72.190754998625167</v>
      </c>
      <c r="DY43" s="20">
        <f t="shared" si="93"/>
        <v>69.905606349700449</v>
      </c>
      <c r="DZ43" s="20">
        <f t="shared" si="94"/>
        <v>67.921889231418774</v>
      </c>
      <c r="EA43" s="20">
        <f t="shared" si="95"/>
        <v>66.217765188009523</v>
      </c>
      <c r="EB43" s="20">
        <f t="shared" si="96"/>
        <v>64.768464626894911</v>
      </c>
      <c r="EC43" s="20">
        <f t="shared" si="97"/>
        <v>63.546561916138245</v>
      </c>
      <c r="ED43" s="20">
        <f t="shared" si="98"/>
        <v>62.522273679345773</v>
      </c>
      <c r="EE43" s="20">
        <f t="shared" si="99"/>
        <v>61.663777125514478</v>
      </c>
      <c r="EF43" s="20">
        <f t="shared" si="100"/>
        <v>60.937545280743464</v>
      </c>
      <c r="EG43" s="20">
        <f t="shared" si="101"/>
        <v>60.30869603642234</v>
      </c>
      <c r="EH43" s="18">
        <f t="shared" si="102"/>
        <v>59.741351984263929</v>
      </c>
    </row>
    <row r="44" spans="5:138" x14ac:dyDescent="0.3">
      <c r="E44" s="54"/>
      <c r="F44" s="22">
        <v>8.3333333333333343E-2</v>
      </c>
      <c r="G44" s="15">
        <f t="shared" si="10"/>
        <v>300</v>
      </c>
      <c r="H44" s="16">
        <f t="shared" si="11"/>
        <v>287.55731592280466</v>
      </c>
      <c r="I44" s="16">
        <f t="shared" si="12"/>
        <v>275.17898811124115</v>
      </c>
      <c r="J44" s="16">
        <f t="shared" si="13"/>
        <v>262.92862057242814</v>
      </c>
      <c r="K44" s="16">
        <f t="shared" si="14"/>
        <v>250.86832312504339</v>
      </c>
      <c r="L44" s="16">
        <f t="shared" si="15"/>
        <v>239.05798991969311</v>
      </c>
      <c r="M44" s="16">
        <f t="shared" si="16"/>
        <v>227.55460812415367</v>
      </c>
      <c r="N44" s="16">
        <f t="shared" si="17"/>
        <v>216.41160589358753</v>
      </c>
      <c r="O44" s="16">
        <f t="shared" si="18"/>
        <v>205.678247982725</v>
      </c>
      <c r="P44" s="16">
        <f t="shared" si="19"/>
        <v>195.39908644890835</v>
      </c>
      <c r="Q44" s="16">
        <f t="shared" si="20"/>
        <v>185.61347286944132</v>
      </c>
      <c r="R44" s="16">
        <f t="shared" si="21"/>
        <v>176.35513738430197</v>
      </c>
      <c r="S44" s="16">
        <f t="shared" si="22"/>
        <v>167.65183870795173</v>
      </c>
      <c r="T44" s="16">
        <f t="shared" si="23"/>
        <v>159.52508806398617</v>
      </c>
      <c r="U44" s="16">
        <f t="shared" si="24"/>
        <v>151.9899488150304</v>
      </c>
      <c r="V44" s="16">
        <f t="shared" si="25"/>
        <v>145.05491241676188</v>
      </c>
      <c r="W44" s="16">
        <f t="shared" si="26"/>
        <v>138.72185024525535</v>
      </c>
      <c r="X44" s="16">
        <f t="shared" si="27"/>
        <v>132.98603985299525</v>
      </c>
      <c r="Y44" s="16">
        <f t="shared" si="28"/>
        <v>127.83626331823518</v>
      </c>
      <c r="Z44" s="16">
        <f t="shared" si="29"/>
        <v>123.25497457719484</v>
      </c>
      <c r="AA44" s="16">
        <f t="shared" si="30"/>
        <v>119.21853197592419</v>
      </c>
      <c r="AB44" s="16">
        <f t="shared" si="31"/>
        <v>115.69749175042318</v>
      </c>
      <c r="AC44" s="16">
        <f t="shared" si="32"/>
        <v>112.6569577367832</v>
      </c>
      <c r="AD44" s="16">
        <f t="shared" si="33"/>
        <v>110.05698232030862</v>
      </c>
      <c r="AE44" s="16">
        <f t="shared" si="34"/>
        <v>107.85301344262038</v>
      </c>
      <c r="AF44" s="16">
        <f t="shared" si="35"/>
        <v>105.99638238448573</v>
      </c>
      <c r="AG44" s="16">
        <f t="shared" si="36"/>
        <v>104.43482701328516</v>
      </c>
      <c r="AH44" s="16">
        <f t="shared" si="37"/>
        <v>103.11304521014017</v>
      </c>
      <c r="AI44" s="16">
        <f t="shared" si="38"/>
        <v>101.9732732550159</v>
      </c>
      <c r="AJ44" s="16">
        <f t="shared" si="103"/>
        <v>100.95588403142658</v>
      </c>
      <c r="AK44" s="15">
        <f t="shared" si="39"/>
        <v>100</v>
      </c>
      <c r="AL44" s="52"/>
      <c r="AM44" s="13">
        <v>8.3333333333333343E-2</v>
      </c>
      <c r="AN44" s="18">
        <f t="shared" si="40"/>
        <v>-1076400000</v>
      </c>
      <c r="AO44" s="19">
        <f t="shared" si="104"/>
        <v>-1031489214.5913075</v>
      </c>
      <c r="AP44" s="19">
        <f t="shared" si="41"/>
        <v>-986812453.81394601</v>
      </c>
      <c r="AQ44" s="19">
        <f t="shared" si="42"/>
        <v>-942601000.43535936</v>
      </c>
      <c r="AR44" s="19">
        <f t="shared" si="43"/>
        <v>-899080691.41063297</v>
      </c>
      <c r="AS44" s="19">
        <f t="shared" si="44"/>
        <v>-856469288.99524236</v>
      </c>
      <c r="AT44" s="19">
        <f t="shared" si="45"/>
        <v>-814973962.55047393</v>
      </c>
      <c r="AU44" s="19">
        <f t="shared" si="46"/>
        <v>-774788914.46261895</v>
      </c>
      <c r="AV44" s="19">
        <f t="shared" si="47"/>
        <v>-736093180.76104724</v>
      </c>
      <c r="AW44" s="19">
        <f t="shared" si="48"/>
        <v>-699048633.64767575</v>
      </c>
      <c r="AX44" s="19">
        <f t="shared" si="49"/>
        <v>-663798209.34503889</v>
      </c>
      <c r="AY44" s="19">
        <f t="shared" si="50"/>
        <v>-630464380.54648852</v>
      </c>
      <c r="AZ44" s="19">
        <f t="shared" si="51"/>
        <v>-599147888.43005836</v>
      </c>
      <c r="BA44" s="19">
        <f t="shared" si="52"/>
        <v>-569926744.79824197</v>
      </c>
      <c r="BB44" s="19">
        <f t="shared" si="53"/>
        <v>-542855510.54648411</v>
      </c>
      <c r="BC44" s="19">
        <f t="shared" si="54"/>
        <v>-517964852.45254695</v>
      </c>
      <c r="BD44" s="19">
        <f t="shared" si="55"/>
        <v>-495261376.31389606</v>
      </c>
      <c r="BE44" s="19">
        <f t="shared" si="56"/>
        <v>-474727730.82249683</v>
      </c>
      <c r="BF44" s="19">
        <f t="shared" si="57"/>
        <v>-456322973.31982815</v>
      </c>
      <c r="BG44" s="19">
        <f t="shared" si="58"/>
        <v>-439983185.76432878</v>
      </c>
      <c r="BH44" s="19">
        <f t="shared" si="59"/>
        <v>-425622326.8939296</v>
      </c>
      <c r="BI44" s="19">
        <f t="shared" si="60"/>
        <v>-413133304.68341392</v>
      </c>
      <c r="BJ44" s="19">
        <f t="shared" si="61"/>
        <v>-402389251.76731354</v>
      </c>
      <c r="BK44" s="19">
        <f t="shared" si="62"/>
        <v>-393244985.49469203</v>
      </c>
      <c r="BL44" s="19">
        <f t="shared" si="63"/>
        <v>-385538633.65917021</v>
      </c>
      <c r="BM44" s="19">
        <f t="shared" si="64"/>
        <v>-379093406.65162784</v>
      </c>
      <c r="BN44" s="19">
        <f t="shared" si="65"/>
        <v>-373719496.75191712</v>
      </c>
      <c r="BO44" s="19">
        <f t="shared" si="66"/>
        <v>-369216085.44317728</v>
      </c>
      <c r="BP44" s="19">
        <f t="shared" si="67"/>
        <v>-365373439.93044239</v>
      </c>
      <c r="BQ44" s="19">
        <f t="shared" si="68"/>
        <v>-361975080.4092049</v>
      </c>
      <c r="BR44" s="18">
        <f t="shared" si="69"/>
        <v>-358800000</v>
      </c>
      <c r="BT44" s="52"/>
      <c r="BU44" s="22">
        <v>8.3333333333333343E-2</v>
      </c>
      <c r="BV44" s="18">
        <v>0</v>
      </c>
      <c r="BW44" s="20">
        <f t="shared" ref="BW44:CY44" si="108">$B$20/($B$21-$B$22*BV44)</f>
        <v>0.34883720930232553</v>
      </c>
      <c r="BX44" s="20">
        <f t="shared" si="108"/>
        <v>0.39716748768472904</v>
      </c>
      <c r="BY44" s="20">
        <f t="shared" si="108"/>
        <v>0.40494040593779607</v>
      </c>
      <c r="BZ44" s="20">
        <f t="shared" si="108"/>
        <v>0.4062190081621499</v>
      </c>
      <c r="CA44" s="20">
        <f t="shared" si="108"/>
        <v>0.40643010492156101</v>
      </c>
      <c r="CB44" s="20">
        <f t="shared" si="108"/>
        <v>0.40646497802255066</v>
      </c>
      <c r="CC44" s="20">
        <f t="shared" si="108"/>
        <v>0.40647073962099717</v>
      </c>
      <c r="CD44" s="20">
        <f t="shared" si="108"/>
        <v>0.40647169154566137</v>
      </c>
      <c r="CE44" s="20">
        <f t="shared" si="108"/>
        <v>0.40647184882198806</v>
      </c>
      <c r="CF44" s="20">
        <f t="shared" si="108"/>
        <v>0.40647187480708435</v>
      </c>
      <c r="CG44" s="20">
        <f t="shared" si="108"/>
        <v>0.40647187910032606</v>
      </c>
      <c r="CH44" s="20">
        <f t="shared" si="108"/>
        <v>0.40647187980965277</v>
      </c>
      <c r="CI44" s="20">
        <f t="shared" si="108"/>
        <v>0.4064718799268473</v>
      </c>
      <c r="CJ44" s="20">
        <f t="shared" si="108"/>
        <v>0.40647187994621015</v>
      </c>
      <c r="CK44" s="20">
        <f t="shared" si="108"/>
        <v>0.40647187994940925</v>
      </c>
      <c r="CL44" s="20">
        <f t="shared" si="108"/>
        <v>0.40647187994993778</v>
      </c>
      <c r="CM44" s="20">
        <f t="shared" si="108"/>
        <v>0.40647187995002515</v>
      </c>
      <c r="CN44" s="20">
        <f t="shared" si="108"/>
        <v>0.40647187995003953</v>
      </c>
      <c r="CO44" s="20">
        <f t="shared" si="108"/>
        <v>0.40647187995004191</v>
      </c>
      <c r="CP44" s="20">
        <f t="shared" si="108"/>
        <v>0.40647187995004236</v>
      </c>
      <c r="CQ44" s="20">
        <f t="shared" si="108"/>
        <v>0.40647187995004236</v>
      </c>
      <c r="CR44" s="20">
        <f t="shared" si="108"/>
        <v>0.40647187995004236</v>
      </c>
      <c r="CS44" s="20">
        <f t="shared" si="108"/>
        <v>0.40647187995004236</v>
      </c>
      <c r="CT44" s="20">
        <f t="shared" si="108"/>
        <v>0.40647187995004236</v>
      </c>
      <c r="CU44" s="20">
        <f t="shared" si="108"/>
        <v>0.40647187995004236</v>
      </c>
      <c r="CV44" s="20">
        <f t="shared" si="108"/>
        <v>0.40647187995004236</v>
      </c>
      <c r="CW44" s="20">
        <f t="shared" si="108"/>
        <v>0.40647187995004236</v>
      </c>
      <c r="CX44" s="20">
        <f t="shared" si="108"/>
        <v>0.40647187995004236</v>
      </c>
      <c r="CY44" s="18">
        <f t="shared" si="108"/>
        <v>0.40647187995004236</v>
      </c>
      <c r="CZ44" s="12">
        <f t="shared" si="71"/>
        <v>100</v>
      </c>
      <c r="DB44" s="52"/>
      <c r="DC44" s="22">
        <v>8.3333333333333343E-2</v>
      </c>
      <c r="DD44" s="18">
        <f t="shared" si="72"/>
        <v>300</v>
      </c>
      <c r="DE44" s="20">
        <f t="shared" si="73"/>
        <v>191.56464565144148</v>
      </c>
      <c r="DF44" s="20">
        <f t="shared" si="74"/>
        <v>170.75228843807849</v>
      </c>
      <c r="DG44" s="20">
        <f t="shared" si="75"/>
        <v>161.34189996923888</v>
      </c>
      <c r="DH44" s="20">
        <f t="shared" si="76"/>
        <v>153.75842356662841</v>
      </c>
      <c r="DI44" s="20">
        <f t="shared" si="77"/>
        <v>146.57294666440865</v>
      </c>
      <c r="DJ44" s="20">
        <f t="shared" si="78"/>
        <v>139.59086949079173</v>
      </c>
      <c r="DK44" s="20">
        <f t="shared" si="79"/>
        <v>132.80941631209845</v>
      </c>
      <c r="DL44" s="20">
        <f t="shared" si="80"/>
        <v>126.25405078736028</v>
      </c>
      <c r="DM44" s="20">
        <f t="shared" si="81"/>
        <v>119.95243496539662</v>
      </c>
      <c r="DN44" s="20">
        <f t="shared" si="82"/>
        <v>113.93006954498317</v>
      </c>
      <c r="DO44" s="20">
        <f t="shared" si="83"/>
        <v>108.20937947005605</v>
      </c>
      <c r="DP44" s="20">
        <f t="shared" si="84"/>
        <v>102.80937628578286</v>
      </c>
      <c r="DQ44" s="20">
        <f t="shared" si="85"/>
        <v>97.745447839155474</v>
      </c>
      <c r="DR44" s="20">
        <f t="shared" si="86"/>
        <v>93.02920586955635</v>
      </c>
      <c r="DS44" s="20">
        <f t="shared" si="87"/>
        <v>88.668381157512513</v>
      </c>
      <c r="DT44" s="20">
        <f t="shared" si="88"/>
        <v>84.666764619111021</v>
      </c>
      <c r="DU44" s="20">
        <f t="shared" si="89"/>
        <v>81.02419357624575</v>
      </c>
      <c r="DV44" s="20">
        <f t="shared" si="90"/>
        <v>77.736582088648461</v>
      </c>
      <c r="DW44" s="20">
        <f t="shared" si="91"/>
        <v>74.79599376005676</v>
      </c>
      <c r="DX44" s="20">
        <f t="shared" si="92"/>
        <v>72.190754998625167</v>
      </c>
      <c r="DY44" s="20">
        <f t="shared" si="93"/>
        <v>69.905606349700449</v>
      </c>
      <c r="DZ44" s="20">
        <f t="shared" si="94"/>
        <v>67.921889231418774</v>
      </c>
      <c r="EA44" s="20">
        <f t="shared" si="95"/>
        <v>66.217765188009523</v>
      </c>
      <c r="EB44" s="20">
        <f t="shared" si="96"/>
        <v>64.768464626894911</v>
      </c>
      <c r="EC44" s="20">
        <f t="shared" si="97"/>
        <v>63.546561916138245</v>
      </c>
      <c r="ED44" s="20">
        <f t="shared" si="98"/>
        <v>62.522273679345773</v>
      </c>
      <c r="EE44" s="20">
        <f t="shared" si="99"/>
        <v>61.663777125514478</v>
      </c>
      <c r="EF44" s="20">
        <f t="shared" si="100"/>
        <v>60.937545280743464</v>
      </c>
      <c r="EG44" s="20">
        <f t="shared" si="101"/>
        <v>60.30869603642234</v>
      </c>
      <c r="EH44" s="18">
        <f t="shared" si="102"/>
        <v>59.741351984263929</v>
      </c>
    </row>
    <row r="45" spans="5:138" x14ac:dyDescent="0.3">
      <c r="E45" s="54"/>
      <c r="F45" s="22">
        <v>0.08</v>
      </c>
      <c r="G45" s="15">
        <f t="shared" si="10"/>
        <v>300</v>
      </c>
      <c r="H45" s="16">
        <f t="shared" si="11"/>
        <v>287.55731592280466</v>
      </c>
      <c r="I45" s="16">
        <f t="shared" si="12"/>
        <v>275.17898811124115</v>
      </c>
      <c r="J45" s="16">
        <f t="shared" si="13"/>
        <v>262.92862057242814</v>
      </c>
      <c r="K45" s="16">
        <f t="shared" si="14"/>
        <v>250.86832312504339</v>
      </c>
      <c r="L45" s="16">
        <f t="shared" si="15"/>
        <v>239.05798991969311</v>
      </c>
      <c r="M45" s="16">
        <f t="shared" si="16"/>
        <v>227.55460812415367</v>
      </c>
      <c r="N45" s="16">
        <f t="shared" si="17"/>
        <v>216.41160589358753</v>
      </c>
      <c r="O45" s="16">
        <f t="shared" si="18"/>
        <v>205.678247982725</v>
      </c>
      <c r="P45" s="16">
        <f t="shared" si="19"/>
        <v>195.39908644890835</v>
      </c>
      <c r="Q45" s="16">
        <f t="shared" si="20"/>
        <v>185.6134728694413</v>
      </c>
      <c r="R45" s="16">
        <f t="shared" si="21"/>
        <v>176.35513738430197</v>
      </c>
      <c r="S45" s="16">
        <f t="shared" si="22"/>
        <v>167.65183870795173</v>
      </c>
      <c r="T45" s="16">
        <f t="shared" si="23"/>
        <v>159.52508806398617</v>
      </c>
      <c r="U45" s="16">
        <f t="shared" si="24"/>
        <v>151.9899488150304</v>
      </c>
      <c r="V45" s="16">
        <f t="shared" si="25"/>
        <v>145.05491241676188</v>
      </c>
      <c r="W45" s="16">
        <f t="shared" si="26"/>
        <v>138.72185024525535</v>
      </c>
      <c r="X45" s="16">
        <f t="shared" si="27"/>
        <v>132.98603985299525</v>
      </c>
      <c r="Y45" s="16">
        <f t="shared" si="28"/>
        <v>127.83626331823518</v>
      </c>
      <c r="Z45" s="16">
        <f t="shared" si="29"/>
        <v>123.25497457719484</v>
      </c>
      <c r="AA45" s="16">
        <f t="shared" si="30"/>
        <v>119.21853197592419</v>
      </c>
      <c r="AB45" s="16">
        <f t="shared" si="31"/>
        <v>115.69749175042318</v>
      </c>
      <c r="AC45" s="16">
        <f t="shared" si="32"/>
        <v>112.6569577367832</v>
      </c>
      <c r="AD45" s="16">
        <f t="shared" si="33"/>
        <v>110.05698232030862</v>
      </c>
      <c r="AE45" s="16">
        <f t="shared" si="34"/>
        <v>107.85301344262038</v>
      </c>
      <c r="AF45" s="16">
        <f t="shared" si="35"/>
        <v>105.99638238448573</v>
      </c>
      <c r="AG45" s="16">
        <f t="shared" si="36"/>
        <v>104.43482701328516</v>
      </c>
      <c r="AH45" s="16">
        <f t="shared" si="37"/>
        <v>103.11304521014017</v>
      </c>
      <c r="AI45" s="16">
        <f t="shared" si="38"/>
        <v>101.9732732550159</v>
      </c>
      <c r="AJ45" s="16">
        <f t="shared" si="103"/>
        <v>100.95588403142658</v>
      </c>
      <c r="AK45" s="15">
        <f t="shared" si="39"/>
        <v>100</v>
      </c>
      <c r="AL45" s="52"/>
      <c r="AM45" s="13">
        <v>0.08</v>
      </c>
      <c r="AN45" s="18">
        <f t="shared" si="40"/>
        <v>-1076400000</v>
      </c>
      <c r="AO45" s="19">
        <f t="shared" si="104"/>
        <v>-1031489214.5913075</v>
      </c>
      <c r="AP45" s="19">
        <f t="shared" si="41"/>
        <v>-986812453.81394601</v>
      </c>
      <c r="AQ45" s="19">
        <f t="shared" si="42"/>
        <v>-942601000.43535936</v>
      </c>
      <c r="AR45" s="19">
        <f t="shared" si="43"/>
        <v>-899080691.41063297</v>
      </c>
      <c r="AS45" s="19">
        <f t="shared" si="44"/>
        <v>-856469288.99524236</v>
      </c>
      <c r="AT45" s="19">
        <f t="shared" si="45"/>
        <v>-814973962.55047393</v>
      </c>
      <c r="AU45" s="19">
        <f t="shared" si="46"/>
        <v>-774788914.46261895</v>
      </c>
      <c r="AV45" s="19">
        <f t="shared" si="47"/>
        <v>-736093180.76104724</v>
      </c>
      <c r="AW45" s="19">
        <f t="shared" si="48"/>
        <v>-699048633.64767575</v>
      </c>
      <c r="AX45" s="19">
        <f t="shared" si="49"/>
        <v>-663798209.34503877</v>
      </c>
      <c r="AY45" s="19">
        <f t="shared" si="50"/>
        <v>-630464380.54648852</v>
      </c>
      <c r="AZ45" s="19">
        <f t="shared" si="51"/>
        <v>-599147888.43005836</v>
      </c>
      <c r="BA45" s="19">
        <f t="shared" si="52"/>
        <v>-569926744.79824197</v>
      </c>
      <c r="BB45" s="19">
        <f t="shared" si="53"/>
        <v>-542855510.54648411</v>
      </c>
      <c r="BC45" s="19">
        <f t="shared" si="54"/>
        <v>-517964852.45254695</v>
      </c>
      <c r="BD45" s="19">
        <f t="shared" si="55"/>
        <v>-495261376.31389606</v>
      </c>
      <c r="BE45" s="19">
        <f t="shared" si="56"/>
        <v>-474727730.82249683</v>
      </c>
      <c r="BF45" s="19">
        <f t="shared" si="57"/>
        <v>-456322973.31982815</v>
      </c>
      <c r="BG45" s="19">
        <f t="shared" si="58"/>
        <v>-439983185.76432878</v>
      </c>
      <c r="BH45" s="19">
        <f t="shared" si="59"/>
        <v>-425622326.8939296</v>
      </c>
      <c r="BI45" s="19">
        <f t="shared" si="60"/>
        <v>-413133304.68341392</v>
      </c>
      <c r="BJ45" s="19">
        <f t="shared" si="61"/>
        <v>-402389251.76731354</v>
      </c>
      <c r="BK45" s="19">
        <f t="shared" si="62"/>
        <v>-393244985.49469203</v>
      </c>
      <c r="BL45" s="19">
        <f t="shared" si="63"/>
        <v>-385538633.65917021</v>
      </c>
      <c r="BM45" s="19">
        <f t="shared" si="64"/>
        <v>-379093406.65162784</v>
      </c>
      <c r="BN45" s="19">
        <f t="shared" si="65"/>
        <v>-373719496.75191712</v>
      </c>
      <c r="BO45" s="19">
        <f t="shared" si="66"/>
        <v>-369216085.44317728</v>
      </c>
      <c r="BP45" s="19">
        <f t="shared" si="67"/>
        <v>-365373439.93044239</v>
      </c>
      <c r="BQ45" s="19">
        <f t="shared" si="68"/>
        <v>-361975080.4092049</v>
      </c>
      <c r="BR45" s="18">
        <f t="shared" si="69"/>
        <v>-358800000</v>
      </c>
      <c r="BT45" s="52"/>
      <c r="BU45" s="22">
        <v>0.08</v>
      </c>
      <c r="BV45" s="18">
        <v>0</v>
      </c>
      <c r="BW45" s="20">
        <f t="shared" ref="BW45:CY45" si="109">$B$20/($B$21-$B$22*BV45)</f>
        <v>0.34883720930232553</v>
      </c>
      <c r="BX45" s="20">
        <f t="shared" si="109"/>
        <v>0.39716748768472904</v>
      </c>
      <c r="BY45" s="20">
        <f t="shared" si="109"/>
        <v>0.40494040593779607</v>
      </c>
      <c r="BZ45" s="20">
        <f t="shared" si="109"/>
        <v>0.4062190081621499</v>
      </c>
      <c r="CA45" s="20">
        <f t="shared" si="109"/>
        <v>0.40643010492156101</v>
      </c>
      <c r="CB45" s="20">
        <f t="shared" si="109"/>
        <v>0.40646497802255066</v>
      </c>
      <c r="CC45" s="20">
        <f t="shared" si="109"/>
        <v>0.40647073962099717</v>
      </c>
      <c r="CD45" s="20">
        <f t="shared" si="109"/>
        <v>0.40647169154566137</v>
      </c>
      <c r="CE45" s="20">
        <f t="shared" si="109"/>
        <v>0.40647184882198806</v>
      </c>
      <c r="CF45" s="20">
        <f t="shared" si="109"/>
        <v>0.40647187480708435</v>
      </c>
      <c r="CG45" s="20">
        <f t="shared" si="109"/>
        <v>0.40647187910032606</v>
      </c>
      <c r="CH45" s="20">
        <f t="shared" si="109"/>
        <v>0.40647187980965277</v>
      </c>
      <c r="CI45" s="20">
        <f t="shared" si="109"/>
        <v>0.4064718799268473</v>
      </c>
      <c r="CJ45" s="20">
        <f t="shared" si="109"/>
        <v>0.40647187994621015</v>
      </c>
      <c r="CK45" s="20">
        <f t="shared" si="109"/>
        <v>0.40647187994940925</v>
      </c>
      <c r="CL45" s="20">
        <f t="shared" si="109"/>
        <v>0.40647187994993778</v>
      </c>
      <c r="CM45" s="20">
        <f t="shared" si="109"/>
        <v>0.40647187995002515</v>
      </c>
      <c r="CN45" s="20">
        <f t="shared" si="109"/>
        <v>0.40647187995003953</v>
      </c>
      <c r="CO45" s="20">
        <f t="shared" si="109"/>
        <v>0.40647187995004191</v>
      </c>
      <c r="CP45" s="20">
        <f t="shared" si="109"/>
        <v>0.40647187995004236</v>
      </c>
      <c r="CQ45" s="20">
        <f t="shared" si="109"/>
        <v>0.40647187995004236</v>
      </c>
      <c r="CR45" s="20">
        <f t="shared" si="109"/>
        <v>0.40647187995004236</v>
      </c>
      <c r="CS45" s="20">
        <f t="shared" si="109"/>
        <v>0.40647187995004236</v>
      </c>
      <c r="CT45" s="20">
        <f t="shared" si="109"/>
        <v>0.40647187995004236</v>
      </c>
      <c r="CU45" s="20">
        <f t="shared" si="109"/>
        <v>0.40647187995004236</v>
      </c>
      <c r="CV45" s="20">
        <f t="shared" si="109"/>
        <v>0.40647187995004236</v>
      </c>
      <c r="CW45" s="20">
        <f t="shared" si="109"/>
        <v>0.40647187995004236</v>
      </c>
      <c r="CX45" s="20">
        <f t="shared" si="109"/>
        <v>0.40647187995004236</v>
      </c>
      <c r="CY45" s="18">
        <f t="shared" si="109"/>
        <v>0.40647187995004236</v>
      </c>
      <c r="CZ45" s="12">
        <f t="shared" si="71"/>
        <v>100</v>
      </c>
      <c r="DB45" s="52"/>
      <c r="DC45" s="22">
        <v>0.08</v>
      </c>
      <c r="DD45" s="18">
        <f t="shared" si="72"/>
        <v>300</v>
      </c>
      <c r="DE45" s="20">
        <f t="shared" si="73"/>
        <v>191.56464565144148</v>
      </c>
      <c r="DF45" s="20">
        <f t="shared" si="74"/>
        <v>170.75228843807849</v>
      </c>
      <c r="DG45" s="20">
        <f t="shared" si="75"/>
        <v>161.34189996923888</v>
      </c>
      <c r="DH45" s="20">
        <f t="shared" si="76"/>
        <v>153.75842356662841</v>
      </c>
      <c r="DI45" s="20">
        <f t="shared" si="77"/>
        <v>146.57294666440865</v>
      </c>
      <c r="DJ45" s="20">
        <f t="shared" si="78"/>
        <v>139.59086949079173</v>
      </c>
      <c r="DK45" s="20">
        <f t="shared" si="79"/>
        <v>132.80941631209845</v>
      </c>
      <c r="DL45" s="20">
        <f t="shared" si="80"/>
        <v>126.25405078736028</v>
      </c>
      <c r="DM45" s="20">
        <f t="shared" si="81"/>
        <v>119.95243496539662</v>
      </c>
      <c r="DN45" s="20">
        <f t="shared" si="82"/>
        <v>113.93006954498316</v>
      </c>
      <c r="DO45" s="20">
        <f t="shared" si="83"/>
        <v>108.20937947005605</v>
      </c>
      <c r="DP45" s="20">
        <f t="shared" si="84"/>
        <v>102.80937628578286</v>
      </c>
      <c r="DQ45" s="20">
        <f t="shared" si="85"/>
        <v>97.745447839155474</v>
      </c>
      <c r="DR45" s="20">
        <f t="shared" si="86"/>
        <v>93.02920586955635</v>
      </c>
      <c r="DS45" s="20">
        <f t="shared" si="87"/>
        <v>88.668381157512513</v>
      </c>
      <c r="DT45" s="20">
        <f t="shared" si="88"/>
        <v>84.666764619111021</v>
      </c>
      <c r="DU45" s="20">
        <f t="shared" si="89"/>
        <v>81.02419357624575</v>
      </c>
      <c r="DV45" s="20">
        <f t="shared" si="90"/>
        <v>77.736582088648461</v>
      </c>
      <c r="DW45" s="20">
        <f t="shared" si="91"/>
        <v>74.79599376005676</v>
      </c>
      <c r="DX45" s="20">
        <f t="shared" si="92"/>
        <v>72.190754998625167</v>
      </c>
      <c r="DY45" s="20">
        <f t="shared" si="93"/>
        <v>69.905606349700449</v>
      </c>
      <c r="DZ45" s="20">
        <f t="shared" si="94"/>
        <v>67.921889231418774</v>
      </c>
      <c r="EA45" s="20">
        <f t="shared" si="95"/>
        <v>66.217765188009523</v>
      </c>
      <c r="EB45" s="20">
        <f t="shared" si="96"/>
        <v>64.768464626894911</v>
      </c>
      <c r="EC45" s="20">
        <f t="shared" si="97"/>
        <v>63.546561916138245</v>
      </c>
      <c r="ED45" s="20">
        <f t="shared" si="98"/>
        <v>62.522273679345773</v>
      </c>
      <c r="EE45" s="20">
        <f t="shared" si="99"/>
        <v>61.663777125514478</v>
      </c>
      <c r="EF45" s="20">
        <f t="shared" si="100"/>
        <v>60.937545280743464</v>
      </c>
      <c r="EG45" s="20">
        <f t="shared" si="101"/>
        <v>60.30869603642234</v>
      </c>
      <c r="EH45" s="18">
        <f t="shared" si="102"/>
        <v>59.741351984263929</v>
      </c>
    </row>
    <row r="46" spans="5:138" x14ac:dyDescent="0.3">
      <c r="E46" s="54"/>
      <c r="F46" s="22">
        <v>7.6666666666666675E-2</v>
      </c>
      <c r="G46" s="15">
        <f t="shared" si="10"/>
        <v>300</v>
      </c>
      <c r="H46" s="16">
        <f t="shared" si="11"/>
        <v>287.55731592280466</v>
      </c>
      <c r="I46" s="16">
        <f t="shared" si="12"/>
        <v>275.17898811124115</v>
      </c>
      <c r="J46" s="16">
        <f t="shared" si="13"/>
        <v>262.92862057242814</v>
      </c>
      <c r="K46" s="16">
        <f t="shared" si="14"/>
        <v>250.86832312504339</v>
      </c>
      <c r="L46" s="16">
        <f t="shared" si="15"/>
        <v>239.05798991969311</v>
      </c>
      <c r="M46" s="16">
        <f t="shared" si="16"/>
        <v>227.55460812415367</v>
      </c>
      <c r="N46" s="16">
        <f t="shared" si="17"/>
        <v>216.41160589358753</v>
      </c>
      <c r="O46" s="16">
        <f t="shared" si="18"/>
        <v>205.678247982725</v>
      </c>
      <c r="P46" s="16">
        <f t="shared" si="19"/>
        <v>195.39908644890835</v>
      </c>
      <c r="Q46" s="16">
        <f t="shared" si="20"/>
        <v>185.61347286944127</v>
      </c>
      <c r="R46" s="16">
        <f t="shared" si="21"/>
        <v>176.35513738430194</v>
      </c>
      <c r="S46" s="16">
        <f t="shared" si="22"/>
        <v>167.65183870795173</v>
      </c>
      <c r="T46" s="16">
        <f t="shared" si="23"/>
        <v>159.52508806398617</v>
      </c>
      <c r="U46" s="16">
        <f t="shared" si="24"/>
        <v>151.9899488150304</v>
      </c>
      <c r="V46" s="16">
        <f t="shared" si="25"/>
        <v>145.05491241676188</v>
      </c>
      <c r="W46" s="16">
        <f t="shared" si="26"/>
        <v>138.72185024525535</v>
      </c>
      <c r="X46" s="16">
        <f t="shared" si="27"/>
        <v>132.98603985299525</v>
      </c>
      <c r="Y46" s="16">
        <f t="shared" si="28"/>
        <v>127.83626331823518</v>
      </c>
      <c r="Z46" s="16">
        <f t="shared" si="29"/>
        <v>123.25497457719484</v>
      </c>
      <c r="AA46" s="16">
        <f t="shared" si="30"/>
        <v>119.21853197592419</v>
      </c>
      <c r="AB46" s="16">
        <f t="shared" si="31"/>
        <v>115.69749175042318</v>
      </c>
      <c r="AC46" s="16">
        <f t="shared" si="32"/>
        <v>112.65695773678318</v>
      </c>
      <c r="AD46" s="16">
        <f t="shared" si="33"/>
        <v>110.05698232030859</v>
      </c>
      <c r="AE46" s="16">
        <f t="shared" si="34"/>
        <v>107.85301344262035</v>
      </c>
      <c r="AF46" s="16">
        <f t="shared" si="35"/>
        <v>105.99638238448571</v>
      </c>
      <c r="AG46" s="16">
        <f t="shared" si="36"/>
        <v>104.43482701328514</v>
      </c>
      <c r="AH46" s="16">
        <f t="shared" si="37"/>
        <v>103.11304521014017</v>
      </c>
      <c r="AI46" s="16">
        <f t="shared" si="38"/>
        <v>101.9732732550159</v>
      </c>
      <c r="AJ46" s="16">
        <f t="shared" si="103"/>
        <v>100.95588403142658</v>
      </c>
      <c r="AK46" s="15">
        <f t="shared" si="39"/>
        <v>100</v>
      </c>
      <c r="AL46" s="52"/>
      <c r="AM46" s="13">
        <v>7.6666666666666675E-2</v>
      </c>
      <c r="AN46" s="18">
        <f t="shared" si="40"/>
        <v>-1076400000</v>
      </c>
      <c r="AO46" s="19">
        <f t="shared" si="104"/>
        <v>-1031489214.5913075</v>
      </c>
      <c r="AP46" s="19">
        <f t="shared" si="41"/>
        <v>-986812453.81394601</v>
      </c>
      <c r="AQ46" s="19">
        <f t="shared" si="42"/>
        <v>-942601000.43535924</v>
      </c>
      <c r="AR46" s="19">
        <f t="shared" si="43"/>
        <v>-899080691.41063297</v>
      </c>
      <c r="AS46" s="19">
        <f t="shared" si="44"/>
        <v>-856469288.99524236</v>
      </c>
      <c r="AT46" s="19">
        <f t="shared" si="45"/>
        <v>-814973962.55047381</v>
      </c>
      <c r="AU46" s="19">
        <f t="shared" si="46"/>
        <v>-774788914.46261895</v>
      </c>
      <c r="AV46" s="19">
        <f t="shared" si="47"/>
        <v>-736093180.76104724</v>
      </c>
      <c r="AW46" s="19">
        <f t="shared" si="48"/>
        <v>-699048633.64767575</v>
      </c>
      <c r="AX46" s="19">
        <f t="shared" si="49"/>
        <v>-663798209.34503865</v>
      </c>
      <c r="AY46" s="19">
        <f t="shared" si="50"/>
        <v>-630464380.5464884</v>
      </c>
      <c r="AZ46" s="19">
        <f t="shared" si="51"/>
        <v>-599147888.43005836</v>
      </c>
      <c r="BA46" s="19">
        <f t="shared" si="52"/>
        <v>-569926744.79824197</v>
      </c>
      <c r="BB46" s="19">
        <f t="shared" si="53"/>
        <v>-542855510.54648399</v>
      </c>
      <c r="BC46" s="19">
        <f t="shared" si="54"/>
        <v>-517964852.45254683</v>
      </c>
      <c r="BD46" s="19">
        <f t="shared" si="55"/>
        <v>-495261376.31389606</v>
      </c>
      <c r="BE46" s="19">
        <f t="shared" si="56"/>
        <v>-474727730.82249683</v>
      </c>
      <c r="BF46" s="19">
        <f t="shared" si="57"/>
        <v>-456322973.31982815</v>
      </c>
      <c r="BG46" s="19">
        <f t="shared" si="58"/>
        <v>-439983185.76432878</v>
      </c>
      <c r="BH46" s="19">
        <f t="shared" si="59"/>
        <v>-425622326.8939296</v>
      </c>
      <c r="BI46" s="19">
        <f t="shared" si="60"/>
        <v>-413133304.68341392</v>
      </c>
      <c r="BJ46" s="19">
        <f t="shared" si="61"/>
        <v>-402389251.76731354</v>
      </c>
      <c r="BK46" s="19">
        <f t="shared" si="62"/>
        <v>-393244985.49469191</v>
      </c>
      <c r="BL46" s="19">
        <f t="shared" si="63"/>
        <v>-385538633.65917021</v>
      </c>
      <c r="BM46" s="19">
        <f t="shared" si="64"/>
        <v>-379093406.65162784</v>
      </c>
      <c r="BN46" s="19">
        <f t="shared" si="65"/>
        <v>-373719496.75191712</v>
      </c>
      <c r="BO46" s="19">
        <f t="shared" si="66"/>
        <v>-369216085.44317728</v>
      </c>
      <c r="BP46" s="19">
        <f t="shared" si="67"/>
        <v>-365373439.93044239</v>
      </c>
      <c r="BQ46" s="19">
        <f t="shared" si="68"/>
        <v>-361975080.4092049</v>
      </c>
      <c r="BR46" s="18">
        <f t="shared" si="69"/>
        <v>-358800000</v>
      </c>
      <c r="BT46" s="52"/>
      <c r="BU46" s="22">
        <v>7.6666666666666675E-2</v>
      </c>
      <c r="BV46" s="18">
        <v>0</v>
      </c>
      <c r="BW46" s="20">
        <f t="shared" ref="BW46:CY46" si="110">$B$20/($B$21-$B$22*BV46)</f>
        <v>0.34883720930232553</v>
      </c>
      <c r="BX46" s="20">
        <f t="shared" si="110"/>
        <v>0.39716748768472904</v>
      </c>
      <c r="BY46" s="20">
        <f t="shared" si="110"/>
        <v>0.40494040593779607</v>
      </c>
      <c r="BZ46" s="20">
        <f t="shared" si="110"/>
        <v>0.4062190081621499</v>
      </c>
      <c r="CA46" s="20">
        <f t="shared" si="110"/>
        <v>0.40643010492156101</v>
      </c>
      <c r="CB46" s="20">
        <f t="shared" si="110"/>
        <v>0.40646497802255066</v>
      </c>
      <c r="CC46" s="20">
        <f t="shared" si="110"/>
        <v>0.40647073962099717</v>
      </c>
      <c r="CD46" s="20">
        <f t="shared" si="110"/>
        <v>0.40647169154566137</v>
      </c>
      <c r="CE46" s="20">
        <f t="shared" si="110"/>
        <v>0.40647184882198806</v>
      </c>
      <c r="CF46" s="20">
        <f t="shared" si="110"/>
        <v>0.40647187480708435</v>
      </c>
      <c r="CG46" s="20">
        <f t="shared" si="110"/>
        <v>0.40647187910032606</v>
      </c>
      <c r="CH46" s="20">
        <f t="shared" si="110"/>
        <v>0.40647187980965277</v>
      </c>
      <c r="CI46" s="20">
        <f t="shared" si="110"/>
        <v>0.4064718799268473</v>
      </c>
      <c r="CJ46" s="20">
        <f t="shared" si="110"/>
        <v>0.40647187994621015</v>
      </c>
      <c r="CK46" s="20">
        <f t="shared" si="110"/>
        <v>0.40647187994940925</v>
      </c>
      <c r="CL46" s="20">
        <f t="shared" si="110"/>
        <v>0.40647187994993778</v>
      </c>
      <c r="CM46" s="20">
        <f t="shared" si="110"/>
        <v>0.40647187995002515</v>
      </c>
      <c r="CN46" s="20">
        <f t="shared" si="110"/>
        <v>0.40647187995003953</v>
      </c>
      <c r="CO46" s="20">
        <f t="shared" si="110"/>
        <v>0.40647187995004191</v>
      </c>
      <c r="CP46" s="20">
        <f t="shared" si="110"/>
        <v>0.40647187995004236</v>
      </c>
      <c r="CQ46" s="20">
        <f t="shared" si="110"/>
        <v>0.40647187995004236</v>
      </c>
      <c r="CR46" s="20">
        <f t="shared" si="110"/>
        <v>0.40647187995004236</v>
      </c>
      <c r="CS46" s="20">
        <f t="shared" si="110"/>
        <v>0.40647187995004236</v>
      </c>
      <c r="CT46" s="20">
        <f t="shared" si="110"/>
        <v>0.40647187995004236</v>
      </c>
      <c r="CU46" s="20">
        <f t="shared" si="110"/>
        <v>0.40647187995004236</v>
      </c>
      <c r="CV46" s="20">
        <f t="shared" si="110"/>
        <v>0.40647187995004236</v>
      </c>
      <c r="CW46" s="20">
        <f t="shared" si="110"/>
        <v>0.40647187995004236</v>
      </c>
      <c r="CX46" s="20">
        <f t="shared" si="110"/>
        <v>0.40647187995004236</v>
      </c>
      <c r="CY46" s="18">
        <f t="shared" si="110"/>
        <v>0.40647187995004236</v>
      </c>
      <c r="CZ46" s="12">
        <f t="shared" si="71"/>
        <v>100</v>
      </c>
      <c r="DB46" s="52"/>
      <c r="DC46" s="22">
        <v>7.6666666666666675E-2</v>
      </c>
      <c r="DD46" s="18">
        <f t="shared" si="72"/>
        <v>300</v>
      </c>
      <c r="DE46" s="20">
        <f t="shared" si="73"/>
        <v>191.56464565144148</v>
      </c>
      <c r="DF46" s="20">
        <f t="shared" si="74"/>
        <v>170.75228843807849</v>
      </c>
      <c r="DG46" s="20">
        <f t="shared" si="75"/>
        <v>161.34189996923888</v>
      </c>
      <c r="DH46" s="20">
        <f t="shared" si="76"/>
        <v>153.75842356662841</v>
      </c>
      <c r="DI46" s="20">
        <f t="shared" si="77"/>
        <v>146.57294666440865</v>
      </c>
      <c r="DJ46" s="20">
        <f t="shared" si="78"/>
        <v>139.59086949079173</v>
      </c>
      <c r="DK46" s="20">
        <f t="shared" si="79"/>
        <v>132.80941631209845</v>
      </c>
      <c r="DL46" s="20">
        <f t="shared" si="80"/>
        <v>126.25405078736028</v>
      </c>
      <c r="DM46" s="20">
        <f t="shared" si="81"/>
        <v>119.95243496539662</v>
      </c>
      <c r="DN46" s="20">
        <f t="shared" si="82"/>
        <v>113.93006954498313</v>
      </c>
      <c r="DO46" s="20">
        <f t="shared" si="83"/>
        <v>108.20937947005604</v>
      </c>
      <c r="DP46" s="20">
        <f t="shared" si="84"/>
        <v>102.80937628578286</v>
      </c>
      <c r="DQ46" s="20">
        <f t="shared" si="85"/>
        <v>97.745447839155474</v>
      </c>
      <c r="DR46" s="20">
        <f t="shared" si="86"/>
        <v>93.02920586955635</v>
      </c>
      <c r="DS46" s="20">
        <f t="shared" si="87"/>
        <v>88.668381157512513</v>
      </c>
      <c r="DT46" s="20">
        <f t="shared" si="88"/>
        <v>84.666764619111021</v>
      </c>
      <c r="DU46" s="20">
        <f t="shared" si="89"/>
        <v>81.02419357624575</v>
      </c>
      <c r="DV46" s="20">
        <f t="shared" si="90"/>
        <v>77.736582088648461</v>
      </c>
      <c r="DW46" s="20">
        <f t="shared" si="91"/>
        <v>74.79599376005676</v>
      </c>
      <c r="DX46" s="20">
        <f t="shared" si="92"/>
        <v>72.190754998625167</v>
      </c>
      <c r="DY46" s="20">
        <f t="shared" si="93"/>
        <v>69.905606349700449</v>
      </c>
      <c r="DZ46" s="20">
        <f t="shared" si="94"/>
        <v>67.921889231418774</v>
      </c>
      <c r="EA46" s="20">
        <f t="shared" si="95"/>
        <v>66.217765188009508</v>
      </c>
      <c r="EB46" s="20">
        <f t="shared" si="96"/>
        <v>64.768464626894897</v>
      </c>
      <c r="EC46" s="20">
        <f t="shared" si="97"/>
        <v>63.546561916138231</v>
      </c>
      <c r="ED46" s="20">
        <f t="shared" si="98"/>
        <v>62.522273679345759</v>
      </c>
      <c r="EE46" s="20">
        <f t="shared" si="99"/>
        <v>61.663777125514478</v>
      </c>
      <c r="EF46" s="20">
        <f t="shared" si="100"/>
        <v>60.937545280743464</v>
      </c>
      <c r="EG46" s="20">
        <f t="shared" si="101"/>
        <v>60.30869603642234</v>
      </c>
      <c r="EH46" s="18">
        <f t="shared" si="102"/>
        <v>59.741351984263929</v>
      </c>
    </row>
    <row r="47" spans="5:138" x14ac:dyDescent="0.3">
      <c r="E47" s="54"/>
      <c r="F47" s="22">
        <v>7.3333333333333334E-2</v>
      </c>
      <c r="G47" s="15">
        <f t="shared" si="10"/>
        <v>300</v>
      </c>
      <c r="H47" s="16">
        <f t="shared" si="11"/>
        <v>287.55731592280466</v>
      </c>
      <c r="I47" s="16">
        <f t="shared" si="12"/>
        <v>275.17898811124115</v>
      </c>
      <c r="J47" s="16">
        <f t="shared" si="13"/>
        <v>262.92862057242814</v>
      </c>
      <c r="K47" s="16">
        <f t="shared" si="14"/>
        <v>250.86832312504333</v>
      </c>
      <c r="L47" s="16">
        <f t="shared" si="15"/>
        <v>239.05798991969306</v>
      </c>
      <c r="M47" s="16">
        <f t="shared" si="16"/>
        <v>227.55460812415362</v>
      </c>
      <c r="N47" s="16">
        <f t="shared" si="17"/>
        <v>216.41160589358745</v>
      </c>
      <c r="O47" s="16">
        <f t="shared" si="18"/>
        <v>205.67824798272491</v>
      </c>
      <c r="P47" s="16">
        <f t="shared" si="19"/>
        <v>195.39908644890824</v>
      </c>
      <c r="Q47" s="16">
        <f t="shared" si="20"/>
        <v>185.61347286944118</v>
      </c>
      <c r="R47" s="16">
        <f t="shared" si="21"/>
        <v>176.35513738430188</v>
      </c>
      <c r="S47" s="16">
        <f t="shared" si="22"/>
        <v>167.65183870795167</v>
      </c>
      <c r="T47" s="16">
        <f t="shared" si="23"/>
        <v>159.52508806398612</v>
      </c>
      <c r="U47" s="16">
        <f t="shared" si="24"/>
        <v>151.98994881503037</v>
      </c>
      <c r="V47" s="16">
        <f t="shared" si="25"/>
        <v>145.05491241676185</v>
      </c>
      <c r="W47" s="16">
        <f t="shared" si="26"/>
        <v>138.72185024525533</v>
      </c>
      <c r="X47" s="16">
        <f t="shared" si="27"/>
        <v>132.98603985299525</v>
      </c>
      <c r="Y47" s="16">
        <f t="shared" si="28"/>
        <v>127.83626331823518</v>
      </c>
      <c r="Z47" s="16">
        <f t="shared" si="29"/>
        <v>123.25497457719484</v>
      </c>
      <c r="AA47" s="16">
        <f t="shared" si="30"/>
        <v>119.21853197592419</v>
      </c>
      <c r="AB47" s="16">
        <f t="shared" si="31"/>
        <v>115.69749175042318</v>
      </c>
      <c r="AC47" s="16">
        <f t="shared" si="32"/>
        <v>112.65695773678318</v>
      </c>
      <c r="AD47" s="16">
        <f t="shared" si="33"/>
        <v>110.05698232030859</v>
      </c>
      <c r="AE47" s="16">
        <f t="shared" si="34"/>
        <v>107.85301344262035</v>
      </c>
      <c r="AF47" s="16">
        <f t="shared" si="35"/>
        <v>105.99638238448571</v>
      </c>
      <c r="AG47" s="16">
        <f t="shared" si="36"/>
        <v>104.43482701328514</v>
      </c>
      <c r="AH47" s="16">
        <f t="shared" si="37"/>
        <v>103.11304521014017</v>
      </c>
      <c r="AI47" s="16">
        <f t="shared" si="38"/>
        <v>101.9732732550159</v>
      </c>
      <c r="AJ47" s="16">
        <f t="shared" si="103"/>
        <v>100.95588403142658</v>
      </c>
      <c r="AK47" s="15">
        <f t="shared" si="39"/>
        <v>100</v>
      </c>
      <c r="AL47" s="52"/>
      <c r="AM47" s="13">
        <v>7.3333333333333334E-2</v>
      </c>
      <c r="AN47" s="18">
        <f t="shared" si="40"/>
        <v>-1076400000</v>
      </c>
      <c r="AO47" s="19">
        <f t="shared" si="104"/>
        <v>-1031489214.5913075</v>
      </c>
      <c r="AP47" s="19">
        <f t="shared" si="41"/>
        <v>-986812453.81394601</v>
      </c>
      <c r="AQ47" s="19">
        <f t="shared" si="42"/>
        <v>-942601000.435359</v>
      </c>
      <c r="AR47" s="19">
        <f t="shared" si="43"/>
        <v>-899080691.41063273</v>
      </c>
      <c r="AS47" s="19">
        <f t="shared" si="44"/>
        <v>-856469288.99524212</v>
      </c>
      <c r="AT47" s="19">
        <f t="shared" si="45"/>
        <v>-814973962.55047369</v>
      </c>
      <c r="AU47" s="19">
        <f t="shared" si="46"/>
        <v>-774788914.46261871</v>
      </c>
      <c r="AV47" s="19">
        <f t="shared" si="47"/>
        <v>-736093180.76104724</v>
      </c>
      <c r="AW47" s="19">
        <f t="shared" si="48"/>
        <v>-699048633.64767551</v>
      </c>
      <c r="AX47" s="19">
        <f t="shared" si="49"/>
        <v>-663798209.34503841</v>
      </c>
      <c r="AY47" s="19">
        <f t="shared" si="50"/>
        <v>-630464380.54648817</v>
      </c>
      <c r="AZ47" s="19">
        <f t="shared" si="51"/>
        <v>-599147888.43005824</v>
      </c>
      <c r="BA47" s="19">
        <f t="shared" si="52"/>
        <v>-569926744.79824173</v>
      </c>
      <c r="BB47" s="19">
        <f t="shared" si="53"/>
        <v>-542855510.54648387</v>
      </c>
      <c r="BC47" s="19">
        <f t="shared" si="54"/>
        <v>-517964852.45254672</v>
      </c>
      <c r="BD47" s="19">
        <f t="shared" si="55"/>
        <v>-495261376.31389594</v>
      </c>
      <c r="BE47" s="19">
        <f t="shared" si="56"/>
        <v>-474727730.82249677</v>
      </c>
      <c r="BF47" s="19">
        <f t="shared" si="57"/>
        <v>-456322973.31982815</v>
      </c>
      <c r="BG47" s="19">
        <f t="shared" si="58"/>
        <v>-439983185.76432872</v>
      </c>
      <c r="BH47" s="19">
        <f t="shared" si="59"/>
        <v>-425622326.8939296</v>
      </c>
      <c r="BI47" s="19">
        <f t="shared" si="60"/>
        <v>-413133304.68341386</v>
      </c>
      <c r="BJ47" s="19">
        <f t="shared" si="61"/>
        <v>-402389251.76731354</v>
      </c>
      <c r="BK47" s="19">
        <f t="shared" si="62"/>
        <v>-393244985.49469185</v>
      </c>
      <c r="BL47" s="19">
        <f t="shared" si="63"/>
        <v>-385538633.65917009</v>
      </c>
      <c r="BM47" s="19">
        <f t="shared" si="64"/>
        <v>-379093406.65162778</v>
      </c>
      <c r="BN47" s="19">
        <f t="shared" si="65"/>
        <v>-373719496.75191706</v>
      </c>
      <c r="BO47" s="19">
        <f t="shared" si="66"/>
        <v>-369216085.44317728</v>
      </c>
      <c r="BP47" s="19">
        <f t="shared" si="67"/>
        <v>-365373439.93044233</v>
      </c>
      <c r="BQ47" s="19">
        <f t="shared" si="68"/>
        <v>-361975080.4092049</v>
      </c>
      <c r="BR47" s="18">
        <f t="shared" si="69"/>
        <v>-358800000</v>
      </c>
      <c r="BT47" s="52"/>
      <c r="BU47" s="22">
        <v>7.3333333333333334E-2</v>
      </c>
      <c r="BV47" s="18">
        <v>0</v>
      </c>
      <c r="BW47" s="20">
        <f t="shared" ref="BW47:CY47" si="111">$B$20/($B$21-$B$22*BV47)</f>
        <v>0.34883720930232553</v>
      </c>
      <c r="BX47" s="20">
        <f t="shared" si="111"/>
        <v>0.39716748768472904</v>
      </c>
      <c r="BY47" s="20">
        <f t="shared" si="111"/>
        <v>0.40494040593779607</v>
      </c>
      <c r="BZ47" s="20">
        <f t="shared" si="111"/>
        <v>0.4062190081621499</v>
      </c>
      <c r="CA47" s="20">
        <f t="shared" si="111"/>
        <v>0.40643010492156101</v>
      </c>
      <c r="CB47" s="20">
        <f t="shared" si="111"/>
        <v>0.40646497802255066</v>
      </c>
      <c r="CC47" s="20">
        <f t="shared" si="111"/>
        <v>0.40647073962099717</v>
      </c>
      <c r="CD47" s="20">
        <f t="shared" si="111"/>
        <v>0.40647169154566137</v>
      </c>
      <c r="CE47" s="20">
        <f t="shared" si="111"/>
        <v>0.40647184882198806</v>
      </c>
      <c r="CF47" s="20">
        <f t="shared" si="111"/>
        <v>0.40647187480708435</v>
      </c>
      <c r="CG47" s="20">
        <f t="shared" si="111"/>
        <v>0.40647187910032606</v>
      </c>
      <c r="CH47" s="20">
        <f t="shared" si="111"/>
        <v>0.40647187980965277</v>
      </c>
      <c r="CI47" s="20">
        <f t="shared" si="111"/>
        <v>0.4064718799268473</v>
      </c>
      <c r="CJ47" s="20">
        <f t="shared" si="111"/>
        <v>0.40647187994621015</v>
      </c>
      <c r="CK47" s="20">
        <f t="shared" si="111"/>
        <v>0.40647187994940925</v>
      </c>
      <c r="CL47" s="20">
        <f t="shared" si="111"/>
        <v>0.40647187994993778</v>
      </c>
      <c r="CM47" s="20">
        <f t="shared" si="111"/>
        <v>0.40647187995002515</v>
      </c>
      <c r="CN47" s="20">
        <f t="shared" si="111"/>
        <v>0.40647187995003953</v>
      </c>
      <c r="CO47" s="20">
        <f t="shared" si="111"/>
        <v>0.40647187995004191</v>
      </c>
      <c r="CP47" s="20">
        <f t="shared" si="111"/>
        <v>0.40647187995004236</v>
      </c>
      <c r="CQ47" s="20">
        <f t="shared" si="111"/>
        <v>0.40647187995004236</v>
      </c>
      <c r="CR47" s="20">
        <f t="shared" si="111"/>
        <v>0.40647187995004236</v>
      </c>
      <c r="CS47" s="20">
        <f t="shared" si="111"/>
        <v>0.40647187995004236</v>
      </c>
      <c r="CT47" s="20">
        <f t="shared" si="111"/>
        <v>0.40647187995004236</v>
      </c>
      <c r="CU47" s="20">
        <f t="shared" si="111"/>
        <v>0.40647187995004236</v>
      </c>
      <c r="CV47" s="20">
        <f t="shared" si="111"/>
        <v>0.40647187995004236</v>
      </c>
      <c r="CW47" s="20">
        <f t="shared" si="111"/>
        <v>0.40647187995004236</v>
      </c>
      <c r="CX47" s="20">
        <f t="shared" si="111"/>
        <v>0.40647187995004236</v>
      </c>
      <c r="CY47" s="18">
        <f t="shared" si="111"/>
        <v>0.40647187995004236</v>
      </c>
      <c r="CZ47" s="12">
        <f t="shared" si="71"/>
        <v>100</v>
      </c>
      <c r="DB47" s="52"/>
      <c r="DC47" s="22">
        <v>7.3333333333333334E-2</v>
      </c>
      <c r="DD47" s="18">
        <f t="shared" si="72"/>
        <v>300</v>
      </c>
      <c r="DE47" s="20">
        <f t="shared" si="73"/>
        <v>191.56464565144148</v>
      </c>
      <c r="DF47" s="20">
        <f t="shared" si="74"/>
        <v>170.75228843807849</v>
      </c>
      <c r="DG47" s="20">
        <f t="shared" si="75"/>
        <v>161.34189996923888</v>
      </c>
      <c r="DH47" s="20">
        <f t="shared" si="76"/>
        <v>153.75842356662838</v>
      </c>
      <c r="DI47" s="20">
        <f t="shared" si="77"/>
        <v>146.57294666440862</v>
      </c>
      <c r="DJ47" s="20">
        <f t="shared" si="78"/>
        <v>139.5908694907917</v>
      </c>
      <c r="DK47" s="20">
        <f t="shared" si="79"/>
        <v>132.80941631209839</v>
      </c>
      <c r="DL47" s="20">
        <f t="shared" si="80"/>
        <v>126.25405078736026</v>
      </c>
      <c r="DM47" s="20">
        <f t="shared" si="81"/>
        <v>119.95243496539656</v>
      </c>
      <c r="DN47" s="20">
        <f t="shared" si="82"/>
        <v>113.93006954498308</v>
      </c>
      <c r="DO47" s="20">
        <f t="shared" si="83"/>
        <v>108.20937947005599</v>
      </c>
      <c r="DP47" s="20">
        <f t="shared" si="84"/>
        <v>102.80937628578283</v>
      </c>
      <c r="DQ47" s="20">
        <f t="shared" si="85"/>
        <v>97.745447839155432</v>
      </c>
      <c r="DR47" s="20">
        <f t="shared" si="86"/>
        <v>93.029205869556321</v>
      </c>
      <c r="DS47" s="20">
        <f t="shared" si="87"/>
        <v>88.668381157512485</v>
      </c>
      <c r="DT47" s="20">
        <f t="shared" si="88"/>
        <v>84.666764619111007</v>
      </c>
      <c r="DU47" s="20">
        <f t="shared" si="89"/>
        <v>81.02419357624575</v>
      </c>
      <c r="DV47" s="20">
        <f t="shared" si="90"/>
        <v>77.736582088648461</v>
      </c>
      <c r="DW47" s="20">
        <f t="shared" si="91"/>
        <v>74.795993760056746</v>
      </c>
      <c r="DX47" s="20">
        <f t="shared" si="92"/>
        <v>72.190754998625167</v>
      </c>
      <c r="DY47" s="20">
        <f t="shared" si="93"/>
        <v>69.905606349700449</v>
      </c>
      <c r="DZ47" s="20">
        <f t="shared" si="94"/>
        <v>67.921889231418774</v>
      </c>
      <c r="EA47" s="20">
        <f t="shared" si="95"/>
        <v>66.217765188009508</v>
      </c>
      <c r="EB47" s="20">
        <f t="shared" si="96"/>
        <v>64.768464626894897</v>
      </c>
      <c r="EC47" s="20">
        <f t="shared" si="97"/>
        <v>63.546561916138231</v>
      </c>
      <c r="ED47" s="20">
        <f t="shared" si="98"/>
        <v>62.522273679345759</v>
      </c>
      <c r="EE47" s="20">
        <f t="shared" si="99"/>
        <v>61.663777125514478</v>
      </c>
      <c r="EF47" s="20">
        <f t="shared" si="100"/>
        <v>60.937545280743464</v>
      </c>
      <c r="EG47" s="20">
        <f t="shared" si="101"/>
        <v>60.30869603642234</v>
      </c>
      <c r="EH47" s="18">
        <f t="shared" si="102"/>
        <v>59.741351984263929</v>
      </c>
    </row>
    <row r="48" spans="5:138" x14ac:dyDescent="0.3">
      <c r="E48" s="54"/>
      <c r="F48" s="22">
        <v>7.0000000000000007E-2</v>
      </c>
      <c r="G48" s="15">
        <f t="shared" si="10"/>
        <v>300</v>
      </c>
      <c r="H48" s="16">
        <f t="shared" si="11"/>
        <v>287.55731592280461</v>
      </c>
      <c r="I48" s="16">
        <f t="shared" si="12"/>
        <v>275.17898811124104</v>
      </c>
      <c r="J48" s="16">
        <f t="shared" si="13"/>
        <v>262.92862057242803</v>
      </c>
      <c r="K48" s="16">
        <f t="shared" si="14"/>
        <v>250.86832312504328</v>
      </c>
      <c r="L48" s="16">
        <f t="shared" si="15"/>
        <v>239.05798991969306</v>
      </c>
      <c r="M48" s="16">
        <f t="shared" si="16"/>
        <v>227.55460812415362</v>
      </c>
      <c r="N48" s="16">
        <f t="shared" si="17"/>
        <v>216.41160589358745</v>
      </c>
      <c r="O48" s="16">
        <f t="shared" si="18"/>
        <v>205.67824798272488</v>
      </c>
      <c r="P48" s="16">
        <f t="shared" si="19"/>
        <v>195.39908644890824</v>
      </c>
      <c r="Q48" s="16">
        <f t="shared" si="20"/>
        <v>185.61347286944118</v>
      </c>
      <c r="R48" s="16">
        <f t="shared" si="21"/>
        <v>176.35513738430183</v>
      </c>
      <c r="S48" s="16">
        <f t="shared" si="22"/>
        <v>167.65183870795161</v>
      </c>
      <c r="T48" s="16">
        <f t="shared" si="23"/>
        <v>159.52508806398606</v>
      </c>
      <c r="U48" s="16">
        <f t="shared" si="24"/>
        <v>151.98994881503032</v>
      </c>
      <c r="V48" s="16">
        <f t="shared" si="25"/>
        <v>145.05491241676179</v>
      </c>
      <c r="W48" s="16">
        <f t="shared" si="26"/>
        <v>138.72185024525527</v>
      </c>
      <c r="X48" s="16">
        <f t="shared" si="27"/>
        <v>132.98603985299519</v>
      </c>
      <c r="Y48" s="16">
        <f t="shared" si="28"/>
        <v>127.83626331823514</v>
      </c>
      <c r="Z48" s="16">
        <f t="shared" si="29"/>
        <v>123.25497457719482</v>
      </c>
      <c r="AA48" s="16">
        <f t="shared" si="30"/>
        <v>119.21853197592415</v>
      </c>
      <c r="AB48" s="16">
        <f t="shared" si="31"/>
        <v>115.69749175042315</v>
      </c>
      <c r="AC48" s="16">
        <f t="shared" si="32"/>
        <v>112.65695773678317</v>
      </c>
      <c r="AD48" s="16">
        <f t="shared" si="33"/>
        <v>110.05698232030858</v>
      </c>
      <c r="AE48" s="16">
        <f t="shared" si="34"/>
        <v>107.85301344262032</v>
      </c>
      <c r="AF48" s="16">
        <f t="shared" si="35"/>
        <v>105.99638238448568</v>
      </c>
      <c r="AG48" s="16">
        <f t="shared" si="36"/>
        <v>104.43482701328512</v>
      </c>
      <c r="AH48" s="16">
        <f t="shared" si="37"/>
        <v>103.11304521014014</v>
      </c>
      <c r="AI48" s="16">
        <f t="shared" si="38"/>
        <v>101.97327325501587</v>
      </c>
      <c r="AJ48" s="16">
        <f t="shared" si="103"/>
        <v>100.95588403142656</v>
      </c>
      <c r="AK48" s="15">
        <f t="shared" si="39"/>
        <v>100</v>
      </c>
      <c r="AL48" s="52"/>
      <c r="AM48" s="13">
        <v>7.0000000000000007E-2</v>
      </c>
      <c r="AN48" s="18">
        <f t="shared" si="40"/>
        <v>-1076400000</v>
      </c>
      <c r="AO48" s="19">
        <f t="shared" si="104"/>
        <v>-1031489214.591307</v>
      </c>
      <c r="AP48" s="19">
        <f t="shared" si="41"/>
        <v>-986812453.81394577</v>
      </c>
      <c r="AQ48" s="19">
        <f t="shared" si="42"/>
        <v>-942601000.43535876</v>
      </c>
      <c r="AR48" s="19">
        <f t="shared" si="43"/>
        <v>-899080691.41063249</v>
      </c>
      <c r="AS48" s="19">
        <f t="shared" si="44"/>
        <v>-856469288.99524212</v>
      </c>
      <c r="AT48" s="19">
        <f t="shared" si="45"/>
        <v>-814973962.55047357</v>
      </c>
      <c r="AU48" s="19">
        <f t="shared" si="46"/>
        <v>-774788914.46261859</v>
      </c>
      <c r="AV48" s="19">
        <f t="shared" si="47"/>
        <v>-736093180.76104712</v>
      </c>
      <c r="AW48" s="19">
        <f t="shared" si="48"/>
        <v>-699048633.6476754</v>
      </c>
      <c r="AX48" s="19">
        <f t="shared" si="49"/>
        <v>-663798209.34503818</v>
      </c>
      <c r="AY48" s="19">
        <f t="shared" si="50"/>
        <v>-630464380.54648793</v>
      </c>
      <c r="AZ48" s="19">
        <f t="shared" si="51"/>
        <v>-599147888.430058</v>
      </c>
      <c r="BA48" s="19">
        <f t="shared" si="52"/>
        <v>-569926744.79824162</v>
      </c>
      <c r="BB48" s="19">
        <f t="shared" si="53"/>
        <v>-542855510.54648376</v>
      </c>
      <c r="BC48" s="19">
        <f t="shared" si="54"/>
        <v>-517964852.45254666</v>
      </c>
      <c r="BD48" s="19">
        <f t="shared" si="55"/>
        <v>-495261376.31389576</v>
      </c>
      <c r="BE48" s="19">
        <f t="shared" si="56"/>
        <v>-474727730.82249653</v>
      </c>
      <c r="BF48" s="19">
        <f t="shared" si="57"/>
        <v>-456322973.31982803</v>
      </c>
      <c r="BG48" s="19">
        <f t="shared" si="58"/>
        <v>-439983185.7643286</v>
      </c>
      <c r="BH48" s="19">
        <f t="shared" si="59"/>
        <v>-425622326.89392954</v>
      </c>
      <c r="BI48" s="19">
        <f t="shared" si="60"/>
        <v>-413133304.6834138</v>
      </c>
      <c r="BJ48" s="19">
        <f t="shared" si="61"/>
        <v>-402389251.76731354</v>
      </c>
      <c r="BK48" s="19">
        <f t="shared" si="62"/>
        <v>-393244985.49469185</v>
      </c>
      <c r="BL48" s="19">
        <f t="shared" si="63"/>
        <v>-385538633.65916997</v>
      </c>
      <c r="BM48" s="19">
        <f t="shared" si="64"/>
        <v>-379093406.65162772</v>
      </c>
      <c r="BN48" s="19">
        <f t="shared" si="65"/>
        <v>-373719496.751917</v>
      </c>
      <c r="BO48" s="19">
        <f t="shared" si="66"/>
        <v>-369216085.44317722</v>
      </c>
      <c r="BP48" s="19">
        <f t="shared" si="67"/>
        <v>-365373439.93044233</v>
      </c>
      <c r="BQ48" s="19">
        <f t="shared" si="68"/>
        <v>-361975080.4092049</v>
      </c>
      <c r="BR48" s="18">
        <f t="shared" si="69"/>
        <v>-358800000</v>
      </c>
      <c r="BT48" s="52"/>
      <c r="BU48" s="22">
        <v>7.0000000000000007E-2</v>
      </c>
      <c r="BV48" s="18">
        <v>0</v>
      </c>
      <c r="BW48" s="20">
        <f t="shared" ref="BW48:CY48" si="112">$B$20/($B$21-$B$22*BV48)</f>
        <v>0.34883720930232553</v>
      </c>
      <c r="BX48" s="20">
        <f t="shared" si="112"/>
        <v>0.39716748768472904</v>
      </c>
      <c r="BY48" s="20">
        <f t="shared" si="112"/>
        <v>0.40494040593779607</v>
      </c>
      <c r="BZ48" s="20">
        <f t="shared" si="112"/>
        <v>0.4062190081621499</v>
      </c>
      <c r="CA48" s="20">
        <f t="shared" si="112"/>
        <v>0.40643010492156101</v>
      </c>
      <c r="CB48" s="20">
        <f t="shared" si="112"/>
        <v>0.40646497802255066</v>
      </c>
      <c r="CC48" s="20">
        <f t="shared" si="112"/>
        <v>0.40647073962099717</v>
      </c>
      <c r="CD48" s="20">
        <f t="shared" si="112"/>
        <v>0.40647169154566137</v>
      </c>
      <c r="CE48" s="20">
        <f t="shared" si="112"/>
        <v>0.40647184882198806</v>
      </c>
      <c r="CF48" s="20">
        <f t="shared" si="112"/>
        <v>0.40647187480708435</v>
      </c>
      <c r="CG48" s="20">
        <f t="shared" si="112"/>
        <v>0.40647187910032606</v>
      </c>
      <c r="CH48" s="20">
        <f t="shared" si="112"/>
        <v>0.40647187980965277</v>
      </c>
      <c r="CI48" s="20">
        <f t="shared" si="112"/>
        <v>0.4064718799268473</v>
      </c>
      <c r="CJ48" s="20">
        <f t="shared" si="112"/>
        <v>0.40647187994621015</v>
      </c>
      <c r="CK48" s="20">
        <f t="shared" si="112"/>
        <v>0.40647187994940925</v>
      </c>
      <c r="CL48" s="20">
        <f t="shared" si="112"/>
        <v>0.40647187994993778</v>
      </c>
      <c r="CM48" s="20">
        <f t="shared" si="112"/>
        <v>0.40647187995002515</v>
      </c>
      <c r="CN48" s="20">
        <f t="shared" si="112"/>
        <v>0.40647187995003953</v>
      </c>
      <c r="CO48" s="20">
        <f t="shared" si="112"/>
        <v>0.40647187995004191</v>
      </c>
      <c r="CP48" s="20">
        <f t="shared" si="112"/>
        <v>0.40647187995004236</v>
      </c>
      <c r="CQ48" s="20">
        <f t="shared" si="112"/>
        <v>0.40647187995004236</v>
      </c>
      <c r="CR48" s="20">
        <f t="shared" si="112"/>
        <v>0.40647187995004236</v>
      </c>
      <c r="CS48" s="20">
        <f t="shared" si="112"/>
        <v>0.40647187995004236</v>
      </c>
      <c r="CT48" s="20">
        <f t="shared" si="112"/>
        <v>0.40647187995004236</v>
      </c>
      <c r="CU48" s="20">
        <f t="shared" si="112"/>
        <v>0.40647187995004236</v>
      </c>
      <c r="CV48" s="20">
        <f t="shared" si="112"/>
        <v>0.40647187995004236</v>
      </c>
      <c r="CW48" s="20">
        <f t="shared" si="112"/>
        <v>0.40647187995004236</v>
      </c>
      <c r="CX48" s="20">
        <f t="shared" si="112"/>
        <v>0.40647187995004236</v>
      </c>
      <c r="CY48" s="18">
        <f t="shared" si="112"/>
        <v>0.40647187995004236</v>
      </c>
      <c r="CZ48" s="12">
        <f t="shared" si="71"/>
        <v>100</v>
      </c>
      <c r="DB48" s="52"/>
      <c r="DC48" s="22">
        <v>7.0000000000000007E-2</v>
      </c>
      <c r="DD48" s="18">
        <f t="shared" si="72"/>
        <v>300</v>
      </c>
      <c r="DE48" s="20">
        <f t="shared" si="73"/>
        <v>191.56464565144145</v>
      </c>
      <c r="DF48" s="20">
        <f t="shared" si="74"/>
        <v>170.75228843807844</v>
      </c>
      <c r="DG48" s="20">
        <f t="shared" si="75"/>
        <v>161.34189996923882</v>
      </c>
      <c r="DH48" s="20">
        <f t="shared" si="76"/>
        <v>153.75842356662835</v>
      </c>
      <c r="DI48" s="20">
        <f t="shared" si="77"/>
        <v>146.57294666440862</v>
      </c>
      <c r="DJ48" s="20">
        <f t="shared" si="78"/>
        <v>139.5908694907917</v>
      </c>
      <c r="DK48" s="20">
        <f t="shared" si="79"/>
        <v>132.80941631209839</v>
      </c>
      <c r="DL48" s="20">
        <f t="shared" si="80"/>
        <v>126.25405078736023</v>
      </c>
      <c r="DM48" s="20">
        <f t="shared" si="81"/>
        <v>119.95243496539656</v>
      </c>
      <c r="DN48" s="20">
        <f t="shared" si="82"/>
        <v>113.93006954498308</v>
      </c>
      <c r="DO48" s="20">
        <f t="shared" si="83"/>
        <v>108.20937947005596</v>
      </c>
      <c r="DP48" s="20">
        <f t="shared" si="84"/>
        <v>102.80937628578279</v>
      </c>
      <c r="DQ48" s="20">
        <f t="shared" si="85"/>
        <v>97.745447839155403</v>
      </c>
      <c r="DR48" s="20">
        <f t="shared" si="86"/>
        <v>93.029205869556293</v>
      </c>
      <c r="DS48" s="20">
        <f t="shared" si="87"/>
        <v>88.668381157512471</v>
      </c>
      <c r="DT48" s="20">
        <f t="shared" si="88"/>
        <v>84.666764619110978</v>
      </c>
      <c r="DU48" s="20">
        <f t="shared" si="89"/>
        <v>81.024193576245708</v>
      </c>
      <c r="DV48" s="20">
        <f t="shared" si="90"/>
        <v>77.736582088648433</v>
      </c>
      <c r="DW48" s="20">
        <f t="shared" si="91"/>
        <v>74.795993760056732</v>
      </c>
      <c r="DX48" s="20">
        <f t="shared" si="92"/>
        <v>72.190754998625138</v>
      </c>
      <c r="DY48" s="20">
        <f t="shared" si="93"/>
        <v>69.90560634970042</v>
      </c>
      <c r="DZ48" s="20">
        <f t="shared" si="94"/>
        <v>67.921889231418774</v>
      </c>
      <c r="EA48" s="20">
        <f t="shared" si="95"/>
        <v>66.217765188009508</v>
      </c>
      <c r="EB48" s="20">
        <f t="shared" si="96"/>
        <v>64.768464626894882</v>
      </c>
      <c r="EC48" s="20">
        <f t="shared" si="97"/>
        <v>63.546561916138224</v>
      </c>
      <c r="ED48" s="20">
        <f t="shared" si="98"/>
        <v>62.522273679345751</v>
      </c>
      <c r="EE48" s="20">
        <f t="shared" si="99"/>
        <v>61.663777125514464</v>
      </c>
      <c r="EF48" s="20">
        <f t="shared" si="100"/>
        <v>60.937545280743457</v>
      </c>
      <c r="EG48" s="20">
        <f t="shared" si="101"/>
        <v>60.308696036422326</v>
      </c>
      <c r="EH48" s="18">
        <f t="shared" si="102"/>
        <v>59.741351984263929</v>
      </c>
    </row>
    <row r="49" spans="5:138" x14ac:dyDescent="0.3">
      <c r="E49" s="54"/>
      <c r="F49" s="22">
        <v>6.6666666666666666E-2</v>
      </c>
      <c r="G49" s="15">
        <f t="shared" si="10"/>
        <v>300</v>
      </c>
      <c r="H49" s="16">
        <f t="shared" si="11"/>
        <v>287.55731592280461</v>
      </c>
      <c r="I49" s="16">
        <f t="shared" si="12"/>
        <v>275.17898811124104</v>
      </c>
      <c r="J49" s="16">
        <f t="shared" si="13"/>
        <v>262.92862057242803</v>
      </c>
      <c r="K49" s="16">
        <f t="shared" si="14"/>
        <v>250.86832312504325</v>
      </c>
      <c r="L49" s="16">
        <f t="shared" si="15"/>
        <v>239.057989919693</v>
      </c>
      <c r="M49" s="16">
        <f t="shared" si="16"/>
        <v>227.55460812415356</v>
      </c>
      <c r="N49" s="16">
        <f t="shared" si="17"/>
        <v>216.41160589358739</v>
      </c>
      <c r="O49" s="16">
        <f t="shared" si="18"/>
        <v>205.67824798272483</v>
      </c>
      <c r="P49" s="16">
        <f t="shared" si="19"/>
        <v>195.39908644890818</v>
      </c>
      <c r="Q49" s="16">
        <f t="shared" si="20"/>
        <v>185.61347286944113</v>
      </c>
      <c r="R49" s="16">
        <f t="shared" si="21"/>
        <v>176.3551373843018</v>
      </c>
      <c r="S49" s="16">
        <f t="shared" si="22"/>
        <v>167.65183870795158</v>
      </c>
      <c r="T49" s="16">
        <f t="shared" si="23"/>
        <v>159.52508806398603</v>
      </c>
      <c r="U49" s="16">
        <f t="shared" si="24"/>
        <v>151.98994881503029</v>
      </c>
      <c r="V49" s="16">
        <f t="shared" si="25"/>
        <v>145.05491241676174</v>
      </c>
      <c r="W49" s="16">
        <f t="shared" si="26"/>
        <v>138.72185024525521</v>
      </c>
      <c r="X49" s="16">
        <f t="shared" si="27"/>
        <v>132.98603985299513</v>
      </c>
      <c r="Y49" s="16">
        <f t="shared" si="28"/>
        <v>127.83626331823507</v>
      </c>
      <c r="Z49" s="16">
        <f t="shared" si="29"/>
        <v>123.25497457719476</v>
      </c>
      <c r="AA49" s="16">
        <f t="shared" si="30"/>
        <v>119.21853197592412</v>
      </c>
      <c r="AB49" s="16">
        <f t="shared" si="31"/>
        <v>115.69749175042313</v>
      </c>
      <c r="AC49" s="16">
        <f t="shared" si="32"/>
        <v>112.65695773678317</v>
      </c>
      <c r="AD49" s="16">
        <f t="shared" si="33"/>
        <v>110.05698232030858</v>
      </c>
      <c r="AE49" s="16">
        <f t="shared" si="34"/>
        <v>107.85301344262032</v>
      </c>
      <c r="AF49" s="16">
        <f t="shared" si="35"/>
        <v>105.99638238448568</v>
      </c>
      <c r="AG49" s="16">
        <f t="shared" si="36"/>
        <v>104.43482701328512</v>
      </c>
      <c r="AH49" s="16">
        <f t="shared" si="37"/>
        <v>103.11304521014014</v>
      </c>
      <c r="AI49" s="16">
        <f t="shared" si="38"/>
        <v>101.97327325501587</v>
      </c>
      <c r="AJ49" s="16">
        <f t="shared" si="103"/>
        <v>100.95588403142656</v>
      </c>
      <c r="AK49" s="15">
        <f t="shared" si="39"/>
        <v>100</v>
      </c>
      <c r="AL49" s="52"/>
      <c r="AM49" s="13">
        <v>6.6666666666666666E-2</v>
      </c>
      <c r="AN49" s="18">
        <f t="shared" si="40"/>
        <v>-1076400000</v>
      </c>
      <c r="AO49" s="19">
        <f t="shared" si="104"/>
        <v>-1031489214.5913069</v>
      </c>
      <c r="AP49" s="19">
        <f t="shared" si="41"/>
        <v>-986812453.81394565</v>
      </c>
      <c r="AQ49" s="19">
        <f t="shared" si="42"/>
        <v>-942601000.43535864</v>
      </c>
      <c r="AR49" s="19">
        <f t="shared" si="43"/>
        <v>-899080691.41063237</v>
      </c>
      <c r="AS49" s="19">
        <f t="shared" si="44"/>
        <v>-856469288.995242</v>
      </c>
      <c r="AT49" s="19">
        <f t="shared" si="45"/>
        <v>-814973962.55047333</v>
      </c>
      <c r="AU49" s="19">
        <f t="shared" si="46"/>
        <v>-774788914.46261835</v>
      </c>
      <c r="AV49" s="19">
        <f t="shared" si="47"/>
        <v>-736093180.76104689</v>
      </c>
      <c r="AW49" s="19">
        <f t="shared" si="48"/>
        <v>-699048633.64767516</v>
      </c>
      <c r="AX49" s="19">
        <f t="shared" si="49"/>
        <v>-663798209.34503806</v>
      </c>
      <c r="AY49" s="19">
        <f t="shared" si="50"/>
        <v>-630464380.54648781</v>
      </c>
      <c r="AZ49" s="19">
        <f t="shared" si="51"/>
        <v>-599147888.43005776</v>
      </c>
      <c r="BA49" s="19">
        <f t="shared" si="52"/>
        <v>-569926744.79824138</v>
      </c>
      <c r="BB49" s="19">
        <f t="shared" si="53"/>
        <v>-542855510.54648376</v>
      </c>
      <c r="BC49" s="19">
        <f t="shared" si="54"/>
        <v>-517964852.45254642</v>
      </c>
      <c r="BD49" s="19">
        <f t="shared" si="55"/>
        <v>-495261376.31389564</v>
      </c>
      <c r="BE49" s="19">
        <f t="shared" si="56"/>
        <v>-474727730.82249641</v>
      </c>
      <c r="BF49" s="19">
        <f t="shared" si="57"/>
        <v>-456322973.31982785</v>
      </c>
      <c r="BG49" s="19">
        <f t="shared" si="58"/>
        <v>-439983185.76432848</v>
      </c>
      <c r="BH49" s="19">
        <f t="shared" si="59"/>
        <v>-425622326.89392942</v>
      </c>
      <c r="BI49" s="19">
        <f t="shared" si="60"/>
        <v>-413133304.68341368</v>
      </c>
      <c r="BJ49" s="19">
        <f t="shared" si="61"/>
        <v>-402389251.76731348</v>
      </c>
      <c r="BK49" s="19">
        <f t="shared" si="62"/>
        <v>-393244985.49469179</v>
      </c>
      <c r="BL49" s="19">
        <f t="shared" si="63"/>
        <v>-385538633.65916991</v>
      </c>
      <c r="BM49" s="19">
        <f t="shared" si="64"/>
        <v>-379093406.65162766</v>
      </c>
      <c r="BN49" s="19">
        <f t="shared" si="65"/>
        <v>-373719496.75191694</v>
      </c>
      <c r="BO49" s="19">
        <f t="shared" si="66"/>
        <v>-369216085.44317722</v>
      </c>
      <c r="BP49" s="19">
        <f t="shared" si="67"/>
        <v>-365373439.93044233</v>
      </c>
      <c r="BQ49" s="19">
        <f t="shared" si="68"/>
        <v>-361975080.4092049</v>
      </c>
      <c r="BR49" s="18">
        <f t="shared" si="69"/>
        <v>-358800000</v>
      </c>
      <c r="BT49" s="52"/>
      <c r="BU49" s="22">
        <v>6.6666666666666666E-2</v>
      </c>
      <c r="BV49" s="18">
        <v>0</v>
      </c>
      <c r="BW49" s="20">
        <f t="shared" ref="BW49:CY49" si="113">$B$20/($B$21-$B$22*BV49)</f>
        <v>0.34883720930232553</v>
      </c>
      <c r="BX49" s="20">
        <f t="shared" si="113"/>
        <v>0.39716748768472904</v>
      </c>
      <c r="BY49" s="20">
        <f t="shared" si="113"/>
        <v>0.40494040593779607</v>
      </c>
      <c r="BZ49" s="20">
        <f t="shared" si="113"/>
        <v>0.4062190081621499</v>
      </c>
      <c r="CA49" s="20">
        <f t="shared" si="113"/>
        <v>0.40643010492156101</v>
      </c>
      <c r="CB49" s="20">
        <f t="shared" si="113"/>
        <v>0.40646497802255066</v>
      </c>
      <c r="CC49" s="20">
        <f t="shared" si="113"/>
        <v>0.40647073962099717</v>
      </c>
      <c r="CD49" s="20">
        <f t="shared" si="113"/>
        <v>0.40647169154566137</v>
      </c>
      <c r="CE49" s="20">
        <f t="shared" si="113"/>
        <v>0.40647184882198806</v>
      </c>
      <c r="CF49" s="20">
        <f t="shared" si="113"/>
        <v>0.40647187480708435</v>
      </c>
      <c r="CG49" s="20">
        <f t="shared" si="113"/>
        <v>0.40647187910032606</v>
      </c>
      <c r="CH49" s="20">
        <f t="shared" si="113"/>
        <v>0.40647187980965277</v>
      </c>
      <c r="CI49" s="20">
        <f t="shared" si="113"/>
        <v>0.4064718799268473</v>
      </c>
      <c r="CJ49" s="20">
        <f t="shared" si="113"/>
        <v>0.40647187994621015</v>
      </c>
      <c r="CK49" s="20">
        <f t="shared" si="113"/>
        <v>0.40647187994940925</v>
      </c>
      <c r="CL49" s="20">
        <f t="shared" si="113"/>
        <v>0.40647187994993778</v>
      </c>
      <c r="CM49" s="20">
        <f t="shared" si="113"/>
        <v>0.40647187995002515</v>
      </c>
      <c r="CN49" s="20">
        <f t="shared" si="113"/>
        <v>0.40647187995003953</v>
      </c>
      <c r="CO49" s="20">
        <f t="shared" si="113"/>
        <v>0.40647187995004191</v>
      </c>
      <c r="CP49" s="20">
        <f t="shared" si="113"/>
        <v>0.40647187995004236</v>
      </c>
      <c r="CQ49" s="20">
        <f t="shared" si="113"/>
        <v>0.40647187995004236</v>
      </c>
      <c r="CR49" s="20">
        <f t="shared" si="113"/>
        <v>0.40647187995004236</v>
      </c>
      <c r="CS49" s="20">
        <f t="shared" si="113"/>
        <v>0.40647187995004236</v>
      </c>
      <c r="CT49" s="20">
        <f t="shared" si="113"/>
        <v>0.40647187995004236</v>
      </c>
      <c r="CU49" s="20">
        <f t="shared" si="113"/>
        <v>0.40647187995004236</v>
      </c>
      <c r="CV49" s="20">
        <f t="shared" si="113"/>
        <v>0.40647187995004236</v>
      </c>
      <c r="CW49" s="20">
        <f t="shared" si="113"/>
        <v>0.40647187995004236</v>
      </c>
      <c r="CX49" s="20">
        <f t="shared" si="113"/>
        <v>0.40647187995004236</v>
      </c>
      <c r="CY49" s="18">
        <f t="shared" si="113"/>
        <v>0.40647187995004236</v>
      </c>
      <c r="CZ49" s="12">
        <f t="shared" si="71"/>
        <v>100</v>
      </c>
      <c r="DB49" s="52"/>
      <c r="DC49" s="22">
        <v>6.6666666666666666E-2</v>
      </c>
      <c r="DD49" s="18">
        <f t="shared" si="72"/>
        <v>300</v>
      </c>
      <c r="DE49" s="20">
        <f t="shared" si="73"/>
        <v>191.56464565144145</v>
      </c>
      <c r="DF49" s="20">
        <f t="shared" si="74"/>
        <v>170.75228843807844</v>
      </c>
      <c r="DG49" s="20">
        <f t="shared" si="75"/>
        <v>161.3418999692388</v>
      </c>
      <c r="DH49" s="20">
        <f t="shared" si="76"/>
        <v>153.75842356662832</v>
      </c>
      <c r="DI49" s="20">
        <f t="shared" si="77"/>
        <v>146.57294666440859</v>
      </c>
      <c r="DJ49" s="20">
        <f t="shared" si="78"/>
        <v>139.59086949079165</v>
      </c>
      <c r="DK49" s="20">
        <f t="shared" si="79"/>
        <v>132.80941631209836</v>
      </c>
      <c r="DL49" s="20">
        <f t="shared" si="80"/>
        <v>126.25405078736021</v>
      </c>
      <c r="DM49" s="20">
        <f t="shared" si="81"/>
        <v>119.95243496539652</v>
      </c>
      <c r="DN49" s="20">
        <f t="shared" si="82"/>
        <v>113.93006954498303</v>
      </c>
      <c r="DO49" s="20">
        <f t="shared" si="83"/>
        <v>108.20937947005594</v>
      </c>
      <c r="DP49" s="20">
        <f t="shared" si="84"/>
        <v>102.80937628578276</v>
      </c>
      <c r="DQ49" s="20">
        <f t="shared" si="85"/>
        <v>97.745447839155375</v>
      </c>
      <c r="DR49" s="20">
        <f t="shared" si="86"/>
        <v>93.029205869556279</v>
      </c>
      <c r="DS49" s="20">
        <f t="shared" si="87"/>
        <v>88.668381157512442</v>
      </c>
      <c r="DT49" s="20">
        <f t="shared" si="88"/>
        <v>84.66676461911095</v>
      </c>
      <c r="DU49" s="20">
        <f t="shared" si="89"/>
        <v>81.024193576245679</v>
      </c>
      <c r="DV49" s="20">
        <f t="shared" si="90"/>
        <v>77.73658208864839</v>
      </c>
      <c r="DW49" s="20">
        <f t="shared" si="91"/>
        <v>74.795993760056689</v>
      </c>
      <c r="DX49" s="20">
        <f t="shared" si="92"/>
        <v>72.190754998625124</v>
      </c>
      <c r="DY49" s="20">
        <f t="shared" si="93"/>
        <v>69.905606349700406</v>
      </c>
      <c r="DZ49" s="20">
        <f t="shared" si="94"/>
        <v>67.92188923141876</v>
      </c>
      <c r="EA49" s="20">
        <f t="shared" si="95"/>
        <v>66.217765188009494</v>
      </c>
      <c r="EB49" s="20">
        <f t="shared" si="96"/>
        <v>64.768464626894882</v>
      </c>
      <c r="EC49" s="20">
        <f t="shared" si="97"/>
        <v>63.546561916138209</v>
      </c>
      <c r="ED49" s="20">
        <f t="shared" si="98"/>
        <v>62.522273679345737</v>
      </c>
      <c r="EE49" s="20">
        <f t="shared" si="99"/>
        <v>61.663777125514464</v>
      </c>
      <c r="EF49" s="20">
        <f t="shared" si="100"/>
        <v>60.937545280743457</v>
      </c>
      <c r="EG49" s="20">
        <f t="shared" si="101"/>
        <v>60.308696036422326</v>
      </c>
      <c r="EH49" s="18">
        <f t="shared" si="102"/>
        <v>59.741351984263929</v>
      </c>
    </row>
    <row r="50" spans="5:138" x14ac:dyDescent="0.3">
      <c r="E50" s="54"/>
      <c r="F50" s="22">
        <v>6.3333333333333339E-2</v>
      </c>
      <c r="G50" s="15">
        <f t="shared" si="10"/>
        <v>300</v>
      </c>
      <c r="H50" s="16">
        <f t="shared" si="11"/>
        <v>287.55731592280461</v>
      </c>
      <c r="I50" s="16">
        <f t="shared" si="12"/>
        <v>275.17898811124104</v>
      </c>
      <c r="J50" s="16">
        <f t="shared" si="13"/>
        <v>262.92862057242803</v>
      </c>
      <c r="K50" s="16">
        <f t="shared" si="14"/>
        <v>250.86832312504325</v>
      </c>
      <c r="L50" s="16">
        <f t="shared" si="15"/>
        <v>239.057989919693</v>
      </c>
      <c r="M50" s="16">
        <f t="shared" si="16"/>
        <v>227.55460812415356</v>
      </c>
      <c r="N50" s="16">
        <f t="shared" si="17"/>
        <v>216.41160589358739</v>
      </c>
      <c r="O50" s="16">
        <f t="shared" si="18"/>
        <v>205.67824798272483</v>
      </c>
      <c r="P50" s="16">
        <f t="shared" si="19"/>
        <v>195.39908644890818</v>
      </c>
      <c r="Q50" s="16">
        <f t="shared" si="20"/>
        <v>185.61347286944113</v>
      </c>
      <c r="R50" s="16">
        <f t="shared" si="21"/>
        <v>176.3551373843018</v>
      </c>
      <c r="S50" s="16">
        <f t="shared" si="22"/>
        <v>167.65183870795158</v>
      </c>
      <c r="T50" s="16">
        <f t="shared" si="23"/>
        <v>159.52508806398603</v>
      </c>
      <c r="U50" s="16">
        <f t="shared" si="24"/>
        <v>151.98994881503029</v>
      </c>
      <c r="V50" s="16">
        <f t="shared" si="25"/>
        <v>145.05491241676174</v>
      </c>
      <c r="W50" s="16">
        <f t="shared" si="26"/>
        <v>138.72185024525521</v>
      </c>
      <c r="X50" s="16">
        <f t="shared" si="27"/>
        <v>132.98603985299513</v>
      </c>
      <c r="Y50" s="16">
        <f t="shared" si="28"/>
        <v>127.83626331823507</v>
      </c>
      <c r="Z50" s="16">
        <f t="shared" si="29"/>
        <v>123.25497457719476</v>
      </c>
      <c r="AA50" s="16">
        <f t="shared" si="30"/>
        <v>119.21853197592412</v>
      </c>
      <c r="AB50" s="16">
        <f t="shared" si="31"/>
        <v>115.69749175042313</v>
      </c>
      <c r="AC50" s="16">
        <f t="shared" si="32"/>
        <v>112.65695773678317</v>
      </c>
      <c r="AD50" s="16">
        <f t="shared" si="33"/>
        <v>110.05698232030858</v>
      </c>
      <c r="AE50" s="16">
        <f t="shared" si="34"/>
        <v>107.85301344262032</v>
      </c>
      <c r="AF50" s="16">
        <f t="shared" si="35"/>
        <v>105.99638238448568</v>
      </c>
      <c r="AG50" s="16">
        <f t="shared" si="36"/>
        <v>104.43482701328512</v>
      </c>
      <c r="AH50" s="16">
        <f t="shared" si="37"/>
        <v>103.11304521014014</v>
      </c>
      <c r="AI50" s="16">
        <f t="shared" si="38"/>
        <v>101.97327325501587</v>
      </c>
      <c r="AJ50" s="16">
        <f t="shared" si="103"/>
        <v>100.95588403142656</v>
      </c>
      <c r="AK50" s="15">
        <f t="shared" si="39"/>
        <v>100</v>
      </c>
      <c r="AL50" s="52"/>
      <c r="AM50" s="13">
        <v>6.3333333333333339E-2</v>
      </c>
      <c r="AN50" s="18">
        <f t="shared" si="40"/>
        <v>-1076400000</v>
      </c>
      <c r="AO50" s="19">
        <f t="shared" si="104"/>
        <v>-1031489214.591307</v>
      </c>
      <c r="AP50" s="19">
        <f t="shared" si="41"/>
        <v>-986812453.81394565</v>
      </c>
      <c r="AQ50" s="19">
        <f t="shared" si="42"/>
        <v>-942601000.43535864</v>
      </c>
      <c r="AR50" s="19">
        <f t="shared" si="43"/>
        <v>-899080691.41063237</v>
      </c>
      <c r="AS50" s="19">
        <f t="shared" si="44"/>
        <v>-856469288.995242</v>
      </c>
      <c r="AT50" s="19">
        <f t="shared" si="45"/>
        <v>-814973962.55047333</v>
      </c>
      <c r="AU50" s="19">
        <f t="shared" si="46"/>
        <v>-774788914.46261835</v>
      </c>
      <c r="AV50" s="19">
        <f t="shared" si="47"/>
        <v>-736093180.76104677</v>
      </c>
      <c r="AW50" s="19">
        <f t="shared" si="48"/>
        <v>-699048633.64767516</v>
      </c>
      <c r="AX50" s="19">
        <f t="shared" si="49"/>
        <v>-663798209.34503806</v>
      </c>
      <c r="AY50" s="19">
        <f t="shared" si="50"/>
        <v>-630464380.54648781</v>
      </c>
      <c r="AZ50" s="19">
        <f t="shared" si="51"/>
        <v>-599147888.43005776</v>
      </c>
      <c r="BA50" s="19">
        <f t="shared" si="52"/>
        <v>-569926744.79824138</v>
      </c>
      <c r="BB50" s="19">
        <f t="shared" si="53"/>
        <v>-542855510.54648364</v>
      </c>
      <c r="BC50" s="19">
        <f t="shared" si="54"/>
        <v>-517964852.45254636</v>
      </c>
      <c r="BD50" s="19">
        <f t="shared" si="55"/>
        <v>-495261376.31389564</v>
      </c>
      <c r="BE50" s="19">
        <f t="shared" si="56"/>
        <v>-474727730.82249641</v>
      </c>
      <c r="BF50" s="19">
        <f t="shared" si="57"/>
        <v>-456322973.3198278</v>
      </c>
      <c r="BG50" s="19">
        <f t="shared" si="58"/>
        <v>-439983185.76432848</v>
      </c>
      <c r="BH50" s="19">
        <f t="shared" si="59"/>
        <v>-425622326.89392942</v>
      </c>
      <c r="BI50" s="19">
        <f t="shared" si="60"/>
        <v>-413133304.68341368</v>
      </c>
      <c r="BJ50" s="19">
        <f t="shared" si="61"/>
        <v>-402389251.76731348</v>
      </c>
      <c r="BK50" s="19">
        <f t="shared" si="62"/>
        <v>-393244985.49469179</v>
      </c>
      <c r="BL50" s="19">
        <f t="shared" si="63"/>
        <v>-385538633.65916985</v>
      </c>
      <c r="BM50" s="19">
        <f t="shared" si="64"/>
        <v>-379093406.65162766</v>
      </c>
      <c r="BN50" s="19">
        <f t="shared" si="65"/>
        <v>-373719496.75191694</v>
      </c>
      <c r="BO50" s="19">
        <f t="shared" si="66"/>
        <v>-369216085.44317722</v>
      </c>
      <c r="BP50" s="19">
        <f t="shared" si="67"/>
        <v>-365373439.93044233</v>
      </c>
      <c r="BQ50" s="19">
        <f t="shared" si="68"/>
        <v>-361975080.4092049</v>
      </c>
      <c r="BR50" s="18">
        <f t="shared" si="69"/>
        <v>-358800000</v>
      </c>
      <c r="BT50" s="52"/>
      <c r="BU50" s="22">
        <v>6.3333333333333339E-2</v>
      </c>
      <c r="BV50" s="18">
        <v>0</v>
      </c>
      <c r="BW50" s="20">
        <f t="shared" ref="BW50:CY50" si="114">$B$20/($B$21-$B$22*BV50)</f>
        <v>0.34883720930232553</v>
      </c>
      <c r="BX50" s="20">
        <f t="shared" si="114"/>
        <v>0.39716748768472904</v>
      </c>
      <c r="BY50" s="20">
        <f t="shared" si="114"/>
        <v>0.40494040593779607</v>
      </c>
      <c r="BZ50" s="20">
        <f t="shared" si="114"/>
        <v>0.4062190081621499</v>
      </c>
      <c r="CA50" s="20">
        <f t="shared" si="114"/>
        <v>0.40643010492156101</v>
      </c>
      <c r="CB50" s="20">
        <f t="shared" si="114"/>
        <v>0.40646497802255066</v>
      </c>
      <c r="CC50" s="20">
        <f t="shared" si="114"/>
        <v>0.40647073962099717</v>
      </c>
      <c r="CD50" s="20">
        <f t="shared" si="114"/>
        <v>0.40647169154566137</v>
      </c>
      <c r="CE50" s="20">
        <f t="shared" si="114"/>
        <v>0.40647184882198806</v>
      </c>
      <c r="CF50" s="20">
        <f t="shared" si="114"/>
        <v>0.40647187480708435</v>
      </c>
      <c r="CG50" s="20">
        <f t="shared" si="114"/>
        <v>0.40647187910032606</v>
      </c>
      <c r="CH50" s="20">
        <f t="shared" si="114"/>
        <v>0.40647187980965277</v>
      </c>
      <c r="CI50" s="20">
        <f t="shared" si="114"/>
        <v>0.4064718799268473</v>
      </c>
      <c r="CJ50" s="20">
        <f t="shared" si="114"/>
        <v>0.40647187994621015</v>
      </c>
      <c r="CK50" s="20">
        <f t="shared" si="114"/>
        <v>0.40647187994940925</v>
      </c>
      <c r="CL50" s="20">
        <f t="shared" si="114"/>
        <v>0.40647187994993778</v>
      </c>
      <c r="CM50" s="20">
        <f t="shared" si="114"/>
        <v>0.40647187995002515</v>
      </c>
      <c r="CN50" s="20">
        <f t="shared" si="114"/>
        <v>0.40647187995003953</v>
      </c>
      <c r="CO50" s="20">
        <f t="shared" si="114"/>
        <v>0.40647187995004191</v>
      </c>
      <c r="CP50" s="20">
        <f t="shared" si="114"/>
        <v>0.40647187995004236</v>
      </c>
      <c r="CQ50" s="20">
        <f t="shared" si="114"/>
        <v>0.40647187995004236</v>
      </c>
      <c r="CR50" s="20">
        <f t="shared" si="114"/>
        <v>0.40647187995004236</v>
      </c>
      <c r="CS50" s="20">
        <f t="shared" si="114"/>
        <v>0.40647187995004236</v>
      </c>
      <c r="CT50" s="20">
        <f t="shared" si="114"/>
        <v>0.40647187995004236</v>
      </c>
      <c r="CU50" s="20">
        <f t="shared" si="114"/>
        <v>0.40647187995004236</v>
      </c>
      <c r="CV50" s="20">
        <f t="shared" si="114"/>
        <v>0.40647187995004236</v>
      </c>
      <c r="CW50" s="20">
        <f t="shared" si="114"/>
        <v>0.40647187995004236</v>
      </c>
      <c r="CX50" s="20">
        <f t="shared" si="114"/>
        <v>0.40647187995004236</v>
      </c>
      <c r="CY50" s="18">
        <f t="shared" si="114"/>
        <v>0.40647187995004236</v>
      </c>
      <c r="CZ50" s="12">
        <f t="shared" si="71"/>
        <v>100</v>
      </c>
      <c r="DB50" s="52"/>
      <c r="DC50" s="22">
        <v>6.3333333333333339E-2</v>
      </c>
      <c r="DD50" s="18">
        <f t="shared" si="72"/>
        <v>300</v>
      </c>
      <c r="DE50" s="20">
        <f t="shared" si="73"/>
        <v>191.56464565144145</v>
      </c>
      <c r="DF50" s="20">
        <f t="shared" si="74"/>
        <v>170.75228843807844</v>
      </c>
      <c r="DG50" s="20">
        <f t="shared" si="75"/>
        <v>161.3418999692388</v>
      </c>
      <c r="DH50" s="20">
        <f t="shared" si="76"/>
        <v>153.75842356662832</v>
      </c>
      <c r="DI50" s="20">
        <f t="shared" si="77"/>
        <v>146.57294666440859</v>
      </c>
      <c r="DJ50" s="20">
        <f t="shared" si="78"/>
        <v>139.59086949079165</v>
      </c>
      <c r="DK50" s="20">
        <f t="shared" si="79"/>
        <v>132.80941631209836</v>
      </c>
      <c r="DL50" s="20">
        <f t="shared" si="80"/>
        <v>126.25405078736019</v>
      </c>
      <c r="DM50" s="20">
        <f t="shared" si="81"/>
        <v>119.95243496539652</v>
      </c>
      <c r="DN50" s="20">
        <f t="shared" si="82"/>
        <v>113.93006954498303</v>
      </c>
      <c r="DO50" s="20">
        <f t="shared" si="83"/>
        <v>108.20937947005594</v>
      </c>
      <c r="DP50" s="20">
        <f t="shared" si="84"/>
        <v>102.80937628578276</v>
      </c>
      <c r="DQ50" s="20">
        <f t="shared" si="85"/>
        <v>97.745447839155375</v>
      </c>
      <c r="DR50" s="20">
        <f t="shared" si="86"/>
        <v>93.029205869556279</v>
      </c>
      <c r="DS50" s="20">
        <f t="shared" si="87"/>
        <v>88.668381157512428</v>
      </c>
      <c r="DT50" s="20">
        <f t="shared" si="88"/>
        <v>84.66676461911095</v>
      </c>
      <c r="DU50" s="20">
        <f t="shared" si="89"/>
        <v>81.024193576245679</v>
      </c>
      <c r="DV50" s="20">
        <f t="shared" si="90"/>
        <v>77.73658208864839</v>
      </c>
      <c r="DW50" s="20">
        <f t="shared" si="91"/>
        <v>74.795993760056689</v>
      </c>
      <c r="DX50" s="20">
        <f t="shared" si="92"/>
        <v>72.190754998625124</v>
      </c>
      <c r="DY50" s="20">
        <f t="shared" si="93"/>
        <v>69.905606349700406</v>
      </c>
      <c r="DZ50" s="20">
        <f t="shared" si="94"/>
        <v>67.92188923141876</v>
      </c>
      <c r="EA50" s="20">
        <f t="shared" si="95"/>
        <v>66.217765188009494</v>
      </c>
      <c r="EB50" s="20">
        <f t="shared" si="96"/>
        <v>64.768464626894868</v>
      </c>
      <c r="EC50" s="20">
        <f t="shared" si="97"/>
        <v>63.546561916138209</v>
      </c>
      <c r="ED50" s="20">
        <f t="shared" si="98"/>
        <v>62.522273679345737</v>
      </c>
      <c r="EE50" s="20">
        <f t="shared" si="99"/>
        <v>61.663777125514464</v>
      </c>
      <c r="EF50" s="20">
        <f t="shared" si="100"/>
        <v>60.937545280743457</v>
      </c>
      <c r="EG50" s="20">
        <f t="shared" si="101"/>
        <v>60.308696036422326</v>
      </c>
      <c r="EH50" s="18">
        <f t="shared" si="102"/>
        <v>59.741351984263929</v>
      </c>
    </row>
    <row r="51" spans="5:138" x14ac:dyDescent="0.3">
      <c r="E51" s="54"/>
      <c r="F51" s="22">
        <v>6.0000000000000005E-2</v>
      </c>
      <c r="G51" s="15">
        <f t="shared" si="10"/>
        <v>300</v>
      </c>
      <c r="H51" s="16">
        <f t="shared" si="11"/>
        <v>287.55731592280461</v>
      </c>
      <c r="I51" s="16">
        <f t="shared" si="12"/>
        <v>275.17898811124104</v>
      </c>
      <c r="J51" s="16">
        <f t="shared" si="13"/>
        <v>262.92862057242803</v>
      </c>
      <c r="K51" s="16">
        <f t="shared" si="14"/>
        <v>250.86832312504328</v>
      </c>
      <c r="L51" s="16">
        <f t="shared" si="15"/>
        <v>239.05798991969306</v>
      </c>
      <c r="M51" s="16">
        <f t="shared" si="16"/>
        <v>227.55460812415362</v>
      </c>
      <c r="N51" s="16">
        <f t="shared" si="17"/>
        <v>216.41160589358745</v>
      </c>
      <c r="O51" s="16">
        <f t="shared" si="18"/>
        <v>205.67824798272488</v>
      </c>
      <c r="P51" s="16">
        <f t="shared" si="19"/>
        <v>195.39908644890821</v>
      </c>
      <c r="Q51" s="16">
        <f t="shared" si="20"/>
        <v>185.61347286944113</v>
      </c>
      <c r="R51" s="16">
        <f t="shared" si="21"/>
        <v>176.3551373843018</v>
      </c>
      <c r="S51" s="16">
        <f t="shared" si="22"/>
        <v>167.65183870795158</v>
      </c>
      <c r="T51" s="16">
        <f t="shared" si="23"/>
        <v>159.52508806398603</v>
      </c>
      <c r="U51" s="16">
        <f t="shared" si="24"/>
        <v>151.98994881503029</v>
      </c>
      <c r="V51" s="16">
        <f t="shared" si="25"/>
        <v>145.05491241676174</v>
      </c>
      <c r="W51" s="16">
        <f t="shared" si="26"/>
        <v>138.72185024525521</v>
      </c>
      <c r="X51" s="16">
        <f t="shared" si="27"/>
        <v>132.98603985299513</v>
      </c>
      <c r="Y51" s="16">
        <f t="shared" si="28"/>
        <v>127.83626331823507</v>
      </c>
      <c r="Z51" s="16">
        <f t="shared" si="29"/>
        <v>123.25497457719476</v>
      </c>
      <c r="AA51" s="16">
        <f t="shared" si="30"/>
        <v>119.21853197592415</v>
      </c>
      <c r="AB51" s="16">
        <f t="shared" si="31"/>
        <v>115.69749175042315</v>
      </c>
      <c r="AC51" s="16">
        <f t="shared" si="32"/>
        <v>112.65695773678317</v>
      </c>
      <c r="AD51" s="16">
        <f t="shared" si="33"/>
        <v>110.05698232030858</v>
      </c>
      <c r="AE51" s="16">
        <f t="shared" si="34"/>
        <v>107.85301344262032</v>
      </c>
      <c r="AF51" s="16">
        <f t="shared" si="35"/>
        <v>105.99638238448568</v>
      </c>
      <c r="AG51" s="16">
        <f t="shared" si="36"/>
        <v>104.43482701328512</v>
      </c>
      <c r="AH51" s="16">
        <f t="shared" si="37"/>
        <v>103.11304521014014</v>
      </c>
      <c r="AI51" s="16">
        <f t="shared" si="38"/>
        <v>101.97327325501587</v>
      </c>
      <c r="AJ51" s="16">
        <f t="shared" si="103"/>
        <v>100.95588403142656</v>
      </c>
      <c r="AK51" s="15">
        <f t="shared" si="39"/>
        <v>100</v>
      </c>
      <c r="AL51" s="52"/>
      <c r="AM51" s="13">
        <v>6.0000000000000005E-2</v>
      </c>
      <c r="AN51" s="18">
        <f t="shared" si="40"/>
        <v>-1076400000</v>
      </c>
      <c r="AO51" s="19">
        <f t="shared" si="104"/>
        <v>-1031489214.591307</v>
      </c>
      <c r="AP51" s="19">
        <f t="shared" si="41"/>
        <v>-986812453.81394577</v>
      </c>
      <c r="AQ51" s="19">
        <f t="shared" si="42"/>
        <v>-942601000.43535876</v>
      </c>
      <c r="AR51" s="19">
        <f t="shared" si="43"/>
        <v>-899080691.41063249</v>
      </c>
      <c r="AS51" s="19">
        <f t="shared" si="44"/>
        <v>-856469288.99524212</v>
      </c>
      <c r="AT51" s="19">
        <f t="shared" si="45"/>
        <v>-814973962.55047357</v>
      </c>
      <c r="AU51" s="19">
        <f t="shared" si="46"/>
        <v>-774788914.46261847</v>
      </c>
      <c r="AV51" s="19">
        <f t="shared" si="47"/>
        <v>-736093180.76104689</v>
      </c>
      <c r="AW51" s="19">
        <f t="shared" si="48"/>
        <v>-699048633.64767528</v>
      </c>
      <c r="AX51" s="19">
        <f t="shared" si="49"/>
        <v>-663798209.34503806</v>
      </c>
      <c r="AY51" s="19">
        <f t="shared" si="50"/>
        <v>-630464380.54648781</v>
      </c>
      <c r="AZ51" s="19">
        <f t="shared" si="51"/>
        <v>-599147888.43005776</v>
      </c>
      <c r="BA51" s="19">
        <f t="shared" si="52"/>
        <v>-569926744.7982415</v>
      </c>
      <c r="BB51" s="19">
        <f t="shared" si="53"/>
        <v>-542855510.54648364</v>
      </c>
      <c r="BC51" s="19">
        <f t="shared" si="54"/>
        <v>-517964852.45254642</v>
      </c>
      <c r="BD51" s="19">
        <f t="shared" si="55"/>
        <v>-495261376.31389576</v>
      </c>
      <c r="BE51" s="19">
        <f t="shared" si="56"/>
        <v>-474727730.82249641</v>
      </c>
      <c r="BF51" s="19">
        <f t="shared" si="57"/>
        <v>-456322973.31982785</v>
      </c>
      <c r="BG51" s="19">
        <f t="shared" si="58"/>
        <v>-439983185.76432848</v>
      </c>
      <c r="BH51" s="19">
        <f t="shared" si="59"/>
        <v>-425622326.89392948</v>
      </c>
      <c r="BI51" s="19">
        <f t="shared" si="60"/>
        <v>-413133304.68341374</v>
      </c>
      <c r="BJ51" s="19">
        <f t="shared" si="61"/>
        <v>-402389251.76731354</v>
      </c>
      <c r="BK51" s="19">
        <f t="shared" si="62"/>
        <v>-393244985.49469173</v>
      </c>
      <c r="BL51" s="19">
        <f t="shared" si="63"/>
        <v>-385538633.65916991</v>
      </c>
      <c r="BM51" s="19">
        <f t="shared" si="64"/>
        <v>-379093406.65162766</v>
      </c>
      <c r="BN51" s="19">
        <f t="shared" si="65"/>
        <v>-373719496.75191694</v>
      </c>
      <c r="BO51" s="19">
        <f t="shared" si="66"/>
        <v>-369216085.44317722</v>
      </c>
      <c r="BP51" s="19">
        <f t="shared" si="67"/>
        <v>-365373439.93044233</v>
      </c>
      <c r="BQ51" s="19">
        <f t="shared" si="68"/>
        <v>-361975080.4092049</v>
      </c>
      <c r="BR51" s="18">
        <f t="shared" si="69"/>
        <v>-358800000</v>
      </c>
      <c r="BT51" s="52"/>
      <c r="BU51" s="22">
        <v>6.0000000000000005E-2</v>
      </c>
      <c r="BV51" s="18">
        <v>0</v>
      </c>
      <c r="BW51" s="20">
        <f t="shared" ref="BW51:CY51" si="115">$B$20/($B$21-$B$22*BV51)</f>
        <v>0.34883720930232553</v>
      </c>
      <c r="BX51" s="20">
        <f t="shared" si="115"/>
        <v>0.39716748768472904</v>
      </c>
      <c r="BY51" s="20">
        <f t="shared" si="115"/>
        <v>0.40494040593779607</v>
      </c>
      <c r="BZ51" s="20">
        <f t="shared" si="115"/>
        <v>0.4062190081621499</v>
      </c>
      <c r="CA51" s="20">
        <f t="shared" si="115"/>
        <v>0.40643010492156101</v>
      </c>
      <c r="CB51" s="20">
        <f t="shared" si="115"/>
        <v>0.40646497802255066</v>
      </c>
      <c r="CC51" s="20">
        <f t="shared" si="115"/>
        <v>0.40647073962099717</v>
      </c>
      <c r="CD51" s="20">
        <f t="shared" si="115"/>
        <v>0.40647169154566137</v>
      </c>
      <c r="CE51" s="20">
        <f t="shared" si="115"/>
        <v>0.40647184882198806</v>
      </c>
      <c r="CF51" s="20">
        <f t="shared" si="115"/>
        <v>0.40647187480708435</v>
      </c>
      <c r="CG51" s="20">
        <f t="shared" si="115"/>
        <v>0.40647187910032606</v>
      </c>
      <c r="CH51" s="20">
        <f t="shared" si="115"/>
        <v>0.40647187980965277</v>
      </c>
      <c r="CI51" s="20">
        <f t="shared" si="115"/>
        <v>0.4064718799268473</v>
      </c>
      <c r="CJ51" s="20">
        <f t="shared" si="115"/>
        <v>0.40647187994621015</v>
      </c>
      <c r="CK51" s="20">
        <f t="shared" si="115"/>
        <v>0.40647187994940925</v>
      </c>
      <c r="CL51" s="20">
        <f t="shared" si="115"/>
        <v>0.40647187994993778</v>
      </c>
      <c r="CM51" s="20">
        <f t="shared" si="115"/>
        <v>0.40647187995002515</v>
      </c>
      <c r="CN51" s="20">
        <f t="shared" si="115"/>
        <v>0.40647187995003953</v>
      </c>
      <c r="CO51" s="20">
        <f t="shared" si="115"/>
        <v>0.40647187995004191</v>
      </c>
      <c r="CP51" s="20">
        <f t="shared" si="115"/>
        <v>0.40647187995004236</v>
      </c>
      <c r="CQ51" s="20">
        <f t="shared" si="115"/>
        <v>0.40647187995004236</v>
      </c>
      <c r="CR51" s="20">
        <f t="shared" si="115"/>
        <v>0.40647187995004236</v>
      </c>
      <c r="CS51" s="20">
        <f t="shared" si="115"/>
        <v>0.40647187995004236</v>
      </c>
      <c r="CT51" s="20">
        <f t="shared" si="115"/>
        <v>0.40647187995004236</v>
      </c>
      <c r="CU51" s="20">
        <f t="shared" si="115"/>
        <v>0.40647187995004236</v>
      </c>
      <c r="CV51" s="20">
        <f t="shared" si="115"/>
        <v>0.40647187995004236</v>
      </c>
      <c r="CW51" s="20">
        <f t="shared" si="115"/>
        <v>0.40647187995004236</v>
      </c>
      <c r="CX51" s="20">
        <f t="shared" si="115"/>
        <v>0.40647187995004236</v>
      </c>
      <c r="CY51" s="18">
        <f t="shared" si="115"/>
        <v>0.40647187995004236</v>
      </c>
      <c r="CZ51" s="12">
        <f t="shared" si="71"/>
        <v>100</v>
      </c>
      <c r="DB51" s="52"/>
      <c r="DC51" s="22">
        <v>6.0000000000000005E-2</v>
      </c>
      <c r="DD51" s="18">
        <f t="shared" si="72"/>
        <v>300</v>
      </c>
      <c r="DE51" s="20">
        <f t="shared" si="73"/>
        <v>191.56464565144145</v>
      </c>
      <c r="DF51" s="20">
        <f t="shared" si="74"/>
        <v>170.75228843807844</v>
      </c>
      <c r="DG51" s="20">
        <f t="shared" si="75"/>
        <v>161.34189996923882</v>
      </c>
      <c r="DH51" s="20">
        <f t="shared" si="76"/>
        <v>153.75842356662835</v>
      </c>
      <c r="DI51" s="20">
        <f t="shared" si="77"/>
        <v>146.57294666440862</v>
      </c>
      <c r="DJ51" s="20">
        <f t="shared" si="78"/>
        <v>139.5908694907917</v>
      </c>
      <c r="DK51" s="20">
        <f t="shared" si="79"/>
        <v>132.80941631209839</v>
      </c>
      <c r="DL51" s="20">
        <f t="shared" si="80"/>
        <v>126.25405078736023</v>
      </c>
      <c r="DM51" s="20">
        <f t="shared" si="81"/>
        <v>119.95243496539655</v>
      </c>
      <c r="DN51" s="20">
        <f t="shared" si="82"/>
        <v>113.93006954498306</v>
      </c>
      <c r="DO51" s="20">
        <f t="shared" si="83"/>
        <v>108.20937947005594</v>
      </c>
      <c r="DP51" s="20">
        <f t="shared" si="84"/>
        <v>102.80937628578276</v>
      </c>
      <c r="DQ51" s="20">
        <f t="shared" si="85"/>
        <v>97.745447839155375</v>
      </c>
      <c r="DR51" s="20">
        <f t="shared" si="86"/>
        <v>93.029205869556279</v>
      </c>
      <c r="DS51" s="20">
        <f t="shared" si="87"/>
        <v>88.668381157512442</v>
      </c>
      <c r="DT51" s="20">
        <f t="shared" si="88"/>
        <v>84.66676461911095</v>
      </c>
      <c r="DU51" s="20">
        <f t="shared" si="89"/>
        <v>81.024193576245679</v>
      </c>
      <c r="DV51" s="20">
        <f t="shared" si="90"/>
        <v>77.73658208864839</v>
      </c>
      <c r="DW51" s="20">
        <f t="shared" si="91"/>
        <v>74.795993760056689</v>
      </c>
      <c r="DX51" s="20">
        <f t="shared" si="92"/>
        <v>72.190754998625124</v>
      </c>
      <c r="DY51" s="20">
        <f t="shared" si="93"/>
        <v>69.90560634970042</v>
      </c>
      <c r="DZ51" s="20">
        <f t="shared" si="94"/>
        <v>67.921889231418774</v>
      </c>
      <c r="EA51" s="20">
        <f t="shared" si="95"/>
        <v>66.217765188009494</v>
      </c>
      <c r="EB51" s="20">
        <f t="shared" si="96"/>
        <v>64.768464626894882</v>
      </c>
      <c r="EC51" s="20">
        <f t="shared" si="97"/>
        <v>63.546561916138209</v>
      </c>
      <c r="ED51" s="20">
        <f t="shared" si="98"/>
        <v>62.522273679345737</v>
      </c>
      <c r="EE51" s="20">
        <f t="shared" si="99"/>
        <v>61.663777125514464</v>
      </c>
      <c r="EF51" s="20">
        <f t="shared" si="100"/>
        <v>60.937545280743457</v>
      </c>
      <c r="EG51" s="20">
        <f t="shared" si="101"/>
        <v>60.308696036422326</v>
      </c>
      <c r="EH51" s="18">
        <f t="shared" si="102"/>
        <v>59.741351984263929</v>
      </c>
    </row>
    <row r="52" spans="5:138" x14ac:dyDescent="0.3">
      <c r="E52" s="54"/>
      <c r="F52" s="22">
        <v>5.6666666666666671E-2</v>
      </c>
      <c r="G52" s="15">
        <f t="shared" si="10"/>
        <v>300</v>
      </c>
      <c r="H52" s="16">
        <f t="shared" si="11"/>
        <v>287.55731592280466</v>
      </c>
      <c r="I52" s="16">
        <f t="shared" si="12"/>
        <v>275.17898811124115</v>
      </c>
      <c r="J52" s="16">
        <f t="shared" si="13"/>
        <v>262.92862057242814</v>
      </c>
      <c r="K52" s="16">
        <f t="shared" si="14"/>
        <v>250.86832312504333</v>
      </c>
      <c r="L52" s="16">
        <f t="shared" si="15"/>
        <v>239.05798991969311</v>
      </c>
      <c r="M52" s="16">
        <f t="shared" si="16"/>
        <v>227.55460812415365</v>
      </c>
      <c r="N52" s="16">
        <f t="shared" si="17"/>
        <v>216.41160589358745</v>
      </c>
      <c r="O52" s="16">
        <f t="shared" si="18"/>
        <v>205.67824798272488</v>
      </c>
      <c r="P52" s="16">
        <f t="shared" si="19"/>
        <v>195.39908644890824</v>
      </c>
      <c r="Q52" s="16">
        <f t="shared" si="20"/>
        <v>185.61347286944118</v>
      </c>
      <c r="R52" s="16">
        <f t="shared" si="21"/>
        <v>176.35513738430183</v>
      </c>
      <c r="S52" s="16">
        <f t="shared" si="22"/>
        <v>167.65183870795161</v>
      </c>
      <c r="T52" s="16">
        <f t="shared" si="23"/>
        <v>159.52508806398606</v>
      </c>
      <c r="U52" s="16">
        <f t="shared" si="24"/>
        <v>151.98994881503032</v>
      </c>
      <c r="V52" s="16">
        <f t="shared" si="25"/>
        <v>145.05491241676179</v>
      </c>
      <c r="W52" s="16">
        <f t="shared" si="26"/>
        <v>138.72185024525527</v>
      </c>
      <c r="X52" s="16">
        <f t="shared" si="27"/>
        <v>132.98603985299519</v>
      </c>
      <c r="Y52" s="16">
        <f t="shared" si="28"/>
        <v>127.83626331823514</v>
      </c>
      <c r="Z52" s="16">
        <f t="shared" si="29"/>
        <v>123.25497457719482</v>
      </c>
      <c r="AA52" s="16">
        <f t="shared" si="30"/>
        <v>119.21853197592418</v>
      </c>
      <c r="AB52" s="16">
        <f t="shared" si="31"/>
        <v>115.69749175042315</v>
      </c>
      <c r="AC52" s="16">
        <f t="shared" si="32"/>
        <v>112.65695773678317</v>
      </c>
      <c r="AD52" s="16">
        <f t="shared" si="33"/>
        <v>110.05698232030858</v>
      </c>
      <c r="AE52" s="16">
        <f t="shared" si="34"/>
        <v>107.85301344262032</v>
      </c>
      <c r="AF52" s="16">
        <f t="shared" si="35"/>
        <v>105.99638238448568</v>
      </c>
      <c r="AG52" s="16">
        <f t="shared" si="36"/>
        <v>104.43482701328512</v>
      </c>
      <c r="AH52" s="16">
        <f t="shared" si="37"/>
        <v>103.11304521014014</v>
      </c>
      <c r="AI52" s="16">
        <f t="shared" si="38"/>
        <v>101.97327325501587</v>
      </c>
      <c r="AJ52" s="16">
        <f t="shared" si="103"/>
        <v>100.95588403142656</v>
      </c>
      <c r="AK52" s="15">
        <f t="shared" si="39"/>
        <v>100</v>
      </c>
      <c r="AL52" s="52"/>
      <c r="AM52" s="13">
        <v>5.6666666666666671E-2</v>
      </c>
      <c r="AN52" s="18">
        <f t="shared" si="40"/>
        <v>-1076400000</v>
      </c>
      <c r="AO52" s="19">
        <f t="shared" si="104"/>
        <v>-1031489214.5913073</v>
      </c>
      <c r="AP52" s="19">
        <f t="shared" si="41"/>
        <v>-986812453.81394601</v>
      </c>
      <c r="AQ52" s="19">
        <f t="shared" si="42"/>
        <v>-942601000.435359</v>
      </c>
      <c r="AR52" s="19">
        <f t="shared" si="43"/>
        <v>-899080691.41063273</v>
      </c>
      <c r="AS52" s="19">
        <f t="shared" si="44"/>
        <v>-856469288.99524236</v>
      </c>
      <c r="AT52" s="19">
        <f t="shared" si="45"/>
        <v>-814973962.55047369</v>
      </c>
      <c r="AU52" s="19">
        <f t="shared" si="46"/>
        <v>-774788914.46261859</v>
      </c>
      <c r="AV52" s="19">
        <f t="shared" si="47"/>
        <v>-736093180.76104712</v>
      </c>
      <c r="AW52" s="19">
        <f t="shared" si="48"/>
        <v>-699048633.6476754</v>
      </c>
      <c r="AX52" s="19">
        <f t="shared" si="49"/>
        <v>-663798209.34503818</v>
      </c>
      <c r="AY52" s="19">
        <f t="shared" si="50"/>
        <v>-630464380.54648793</v>
      </c>
      <c r="AZ52" s="19">
        <f t="shared" si="51"/>
        <v>-599147888.430058</v>
      </c>
      <c r="BA52" s="19">
        <f t="shared" si="52"/>
        <v>-569926744.79824162</v>
      </c>
      <c r="BB52" s="19">
        <f t="shared" si="53"/>
        <v>-542855510.54648376</v>
      </c>
      <c r="BC52" s="19">
        <f t="shared" si="54"/>
        <v>-517964852.45254666</v>
      </c>
      <c r="BD52" s="19">
        <f t="shared" si="55"/>
        <v>-495261376.31389576</v>
      </c>
      <c r="BE52" s="19">
        <f t="shared" si="56"/>
        <v>-474727730.82249665</v>
      </c>
      <c r="BF52" s="19">
        <f t="shared" si="57"/>
        <v>-456322973.31982803</v>
      </c>
      <c r="BG52" s="19">
        <f t="shared" si="58"/>
        <v>-439983185.7643286</v>
      </c>
      <c r="BH52" s="19">
        <f t="shared" si="59"/>
        <v>-425622326.8939296</v>
      </c>
      <c r="BI52" s="19">
        <f t="shared" si="60"/>
        <v>-413133304.6834138</v>
      </c>
      <c r="BJ52" s="19">
        <f t="shared" si="61"/>
        <v>-402389251.76731354</v>
      </c>
      <c r="BK52" s="19">
        <f t="shared" si="62"/>
        <v>-393244985.49469185</v>
      </c>
      <c r="BL52" s="19">
        <f t="shared" si="63"/>
        <v>-385538633.65916997</v>
      </c>
      <c r="BM52" s="19">
        <f t="shared" si="64"/>
        <v>-379093406.65162772</v>
      </c>
      <c r="BN52" s="19">
        <f t="shared" si="65"/>
        <v>-373719496.751917</v>
      </c>
      <c r="BO52" s="19">
        <f t="shared" si="66"/>
        <v>-369216085.44317722</v>
      </c>
      <c r="BP52" s="19">
        <f t="shared" si="67"/>
        <v>-365373439.93044233</v>
      </c>
      <c r="BQ52" s="19">
        <f t="shared" si="68"/>
        <v>-361975080.4092049</v>
      </c>
      <c r="BR52" s="18">
        <f t="shared" si="69"/>
        <v>-358800000</v>
      </c>
      <c r="BT52" s="52"/>
      <c r="BU52" s="22">
        <v>5.6666666666666671E-2</v>
      </c>
      <c r="BV52" s="18">
        <v>0</v>
      </c>
      <c r="BW52" s="20">
        <f t="shared" ref="BW52:CY52" si="116">$B$20/($B$21-$B$22*BV52)</f>
        <v>0.34883720930232553</v>
      </c>
      <c r="BX52" s="20">
        <f t="shared" si="116"/>
        <v>0.39716748768472904</v>
      </c>
      <c r="BY52" s="20">
        <f t="shared" si="116"/>
        <v>0.40494040593779607</v>
      </c>
      <c r="BZ52" s="20">
        <f t="shared" si="116"/>
        <v>0.4062190081621499</v>
      </c>
      <c r="CA52" s="20">
        <f t="shared" si="116"/>
        <v>0.40643010492156101</v>
      </c>
      <c r="CB52" s="20">
        <f t="shared" si="116"/>
        <v>0.40646497802255066</v>
      </c>
      <c r="CC52" s="20">
        <f t="shared" si="116"/>
        <v>0.40647073962099717</v>
      </c>
      <c r="CD52" s="20">
        <f t="shared" si="116"/>
        <v>0.40647169154566137</v>
      </c>
      <c r="CE52" s="20">
        <f t="shared" si="116"/>
        <v>0.40647184882198806</v>
      </c>
      <c r="CF52" s="20">
        <f t="shared" si="116"/>
        <v>0.40647187480708435</v>
      </c>
      <c r="CG52" s="20">
        <f t="shared" si="116"/>
        <v>0.40647187910032606</v>
      </c>
      <c r="CH52" s="20">
        <f t="shared" si="116"/>
        <v>0.40647187980965277</v>
      </c>
      <c r="CI52" s="20">
        <f t="shared" si="116"/>
        <v>0.4064718799268473</v>
      </c>
      <c r="CJ52" s="20">
        <f t="shared" si="116"/>
        <v>0.40647187994621015</v>
      </c>
      <c r="CK52" s="20">
        <f t="shared" si="116"/>
        <v>0.40647187994940925</v>
      </c>
      <c r="CL52" s="20">
        <f t="shared" si="116"/>
        <v>0.40647187994993778</v>
      </c>
      <c r="CM52" s="20">
        <f t="shared" si="116"/>
        <v>0.40647187995002515</v>
      </c>
      <c r="CN52" s="20">
        <f t="shared" si="116"/>
        <v>0.40647187995003953</v>
      </c>
      <c r="CO52" s="20">
        <f t="shared" si="116"/>
        <v>0.40647187995004191</v>
      </c>
      <c r="CP52" s="20">
        <f t="shared" si="116"/>
        <v>0.40647187995004236</v>
      </c>
      <c r="CQ52" s="20">
        <f t="shared" si="116"/>
        <v>0.40647187995004236</v>
      </c>
      <c r="CR52" s="20">
        <f t="shared" si="116"/>
        <v>0.40647187995004236</v>
      </c>
      <c r="CS52" s="20">
        <f t="shared" si="116"/>
        <v>0.40647187995004236</v>
      </c>
      <c r="CT52" s="20">
        <f t="shared" si="116"/>
        <v>0.40647187995004236</v>
      </c>
      <c r="CU52" s="20">
        <f t="shared" si="116"/>
        <v>0.40647187995004236</v>
      </c>
      <c r="CV52" s="20">
        <f t="shared" si="116"/>
        <v>0.40647187995004236</v>
      </c>
      <c r="CW52" s="20">
        <f t="shared" si="116"/>
        <v>0.40647187995004236</v>
      </c>
      <c r="CX52" s="20">
        <f t="shared" si="116"/>
        <v>0.40647187995004236</v>
      </c>
      <c r="CY52" s="18">
        <f t="shared" si="116"/>
        <v>0.40647187995004236</v>
      </c>
      <c r="CZ52" s="12">
        <f t="shared" si="71"/>
        <v>100</v>
      </c>
      <c r="DB52" s="52"/>
      <c r="DC52" s="22">
        <v>5.6666666666666671E-2</v>
      </c>
      <c r="DD52" s="18">
        <f t="shared" si="72"/>
        <v>300</v>
      </c>
      <c r="DE52" s="20">
        <f t="shared" si="73"/>
        <v>191.56464565144148</v>
      </c>
      <c r="DF52" s="20">
        <f t="shared" si="74"/>
        <v>170.75228843807849</v>
      </c>
      <c r="DG52" s="20">
        <f t="shared" si="75"/>
        <v>161.34189996923888</v>
      </c>
      <c r="DH52" s="20">
        <f t="shared" si="76"/>
        <v>153.75842356662838</v>
      </c>
      <c r="DI52" s="20">
        <f t="shared" si="77"/>
        <v>146.57294666440865</v>
      </c>
      <c r="DJ52" s="20">
        <f t="shared" si="78"/>
        <v>139.59086949079173</v>
      </c>
      <c r="DK52" s="20">
        <f t="shared" si="79"/>
        <v>132.80941631209839</v>
      </c>
      <c r="DL52" s="20">
        <f t="shared" si="80"/>
        <v>126.25405078736023</v>
      </c>
      <c r="DM52" s="20">
        <f t="shared" si="81"/>
        <v>119.95243496539656</v>
      </c>
      <c r="DN52" s="20">
        <f t="shared" si="82"/>
        <v>113.93006954498308</v>
      </c>
      <c r="DO52" s="20">
        <f t="shared" si="83"/>
        <v>108.20937947005596</v>
      </c>
      <c r="DP52" s="20">
        <f t="shared" si="84"/>
        <v>102.80937628578279</v>
      </c>
      <c r="DQ52" s="20">
        <f t="shared" si="85"/>
        <v>97.745447839155403</v>
      </c>
      <c r="DR52" s="20">
        <f t="shared" si="86"/>
        <v>93.029205869556293</v>
      </c>
      <c r="DS52" s="20">
        <f t="shared" si="87"/>
        <v>88.668381157512471</v>
      </c>
      <c r="DT52" s="20">
        <f t="shared" si="88"/>
        <v>84.666764619110978</v>
      </c>
      <c r="DU52" s="20">
        <f t="shared" si="89"/>
        <v>81.024193576245722</v>
      </c>
      <c r="DV52" s="20">
        <f t="shared" si="90"/>
        <v>77.736582088648433</v>
      </c>
      <c r="DW52" s="20">
        <f t="shared" si="91"/>
        <v>74.795993760056732</v>
      </c>
      <c r="DX52" s="20">
        <f t="shared" si="92"/>
        <v>72.190754998625152</v>
      </c>
      <c r="DY52" s="20">
        <f t="shared" si="93"/>
        <v>69.90560634970042</v>
      </c>
      <c r="DZ52" s="20">
        <f t="shared" si="94"/>
        <v>67.921889231418774</v>
      </c>
      <c r="EA52" s="20">
        <f t="shared" si="95"/>
        <v>66.217765188009508</v>
      </c>
      <c r="EB52" s="20">
        <f t="shared" si="96"/>
        <v>64.768464626894882</v>
      </c>
      <c r="EC52" s="20">
        <f t="shared" si="97"/>
        <v>63.546561916138224</v>
      </c>
      <c r="ED52" s="20">
        <f t="shared" si="98"/>
        <v>62.522273679345751</v>
      </c>
      <c r="EE52" s="20">
        <f t="shared" si="99"/>
        <v>61.663777125514464</v>
      </c>
      <c r="EF52" s="20">
        <f t="shared" si="100"/>
        <v>60.937545280743457</v>
      </c>
      <c r="EG52" s="20">
        <f t="shared" si="101"/>
        <v>60.308696036422326</v>
      </c>
      <c r="EH52" s="18">
        <f t="shared" si="102"/>
        <v>59.741351984263929</v>
      </c>
    </row>
    <row r="53" spans="5:138" x14ac:dyDescent="0.3">
      <c r="E53" s="54"/>
      <c r="F53" s="22">
        <v>5.3333333333333337E-2</v>
      </c>
      <c r="G53" s="15">
        <f t="shared" si="10"/>
        <v>300</v>
      </c>
      <c r="H53" s="16">
        <f t="shared" si="11"/>
        <v>287.55731592280466</v>
      </c>
      <c r="I53" s="16">
        <f t="shared" si="12"/>
        <v>275.17898811124115</v>
      </c>
      <c r="J53" s="16">
        <f t="shared" si="13"/>
        <v>262.92862057242814</v>
      </c>
      <c r="K53" s="16">
        <f t="shared" si="14"/>
        <v>250.86832312504339</v>
      </c>
      <c r="L53" s="16">
        <f t="shared" si="15"/>
        <v>239.05798991969311</v>
      </c>
      <c r="M53" s="16">
        <f t="shared" si="16"/>
        <v>227.55460812415365</v>
      </c>
      <c r="N53" s="16">
        <f t="shared" si="17"/>
        <v>216.41160589358745</v>
      </c>
      <c r="O53" s="16">
        <f t="shared" si="18"/>
        <v>205.67824798272491</v>
      </c>
      <c r="P53" s="16">
        <f t="shared" si="19"/>
        <v>195.39908644890824</v>
      </c>
      <c r="Q53" s="16">
        <f t="shared" si="20"/>
        <v>185.61347286944118</v>
      </c>
      <c r="R53" s="16">
        <f t="shared" si="21"/>
        <v>176.35513738430183</v>
      </c>
      <c r="S53" s="16">
        <f t="shared" si="22"/>
        <v>167.65183870795161</v>
      </c>
      <c r="T53" s="16">
        <f t="shared" si="23"/>
        <v>159.52508806398606</v>
      </c>
      <c r="U53" s="16">
        <f t="shared" si="24"/>
        <v>151.98994881503032</v>
      </c>
      <c r="V53" s="16">
        <f t="shared" si="25"/>
        <v>145.05491241676179</v>
      </c>
      <c r="W53" s="16">
        <f t="shared" si="26"/>
        <v>138.72185024525527</v>
      </c>
      <c r="X53" s="16">
        <f t="shared" si="27"/>
        <v>132.98603985299519</v>
      </c>
      <c r="Y53" s="16">
        <f t="shared" si="28"/>
        <v>127.83626331823514</v>
      </c>
      <c r="Z53" s="16">
        <f t="shared" si="29"/>
        <v>123.25497457719483</v>
      </c>
      <c r="AA53" s="16">
        <f t="shared" si="30"/>
        <v>119.21853197592418</v>
      </c>
      <c r="AB53" s="16">
        <f t="shared" si="31"/>
        <v>115.69749175042317</v>
      </c>
      <c r="AC53" s="16">
        <f t="shared" si="32"/>
        <v>112.6569577367832</v>
      </c>
      <c r="AD53" s="16">
        <f t="shared" si="33"/>
        <v>110.05698232030858</v>
      </c>
      <c r="AE53" s="16">
        <f t="shared" si="34"/>
        <v>107.85301344262032</v>
      </c>
      <c r="AF53" s="16">
        <f t="shared" si="35"/>
        <v>105.99638238448568</v>
      </c>
      <c r="AG53" s="16">
        <f t="shared" si="36"/>
        <v>104.43482701328512</v>
      </c>
      <c r="AH53" s="16">
        <f t="shared" si="37"/>
        <v>103.11304521014014</v>
      </c>
      <c r="AI53" s="16">
        <f t="shared" si="38"/>
        <v>101.97327325501587</v>
      </c>
      <c r="AJ53" s="16">
        <f t="shared" si="103"/>
        <v>100.95588403142656</v>
      </c>
      <c r="AK53" s="15">
        <f t="shared" si="39"/>
        <v>100</v>
      </c>
      <c r="AL53" s="52"/>
      <c r="AM53" s="13">
        <v>5.3333333333333337E-2</v>
      </c>
      <c r="AN53" s="18">
        <f t="shared" si="40"/>
        <v>-1076400000</v>
      </c>
      <c r="AO53" s="19">
        <f t="shared" si="104"/>
        <v>-1031489214.5913073</v>
      </c>
      <c r="AP53" s="19">
        <f t="shared" si="41"/>
        <v>-986812453.81394601</v>
      </c>
      <c r="AQ53" s="19">
        <f t="shared" si="42"/>
        <v>-942601000.435359</v>
      </c>
      <c r="AR53" s="19">
        <f t="shared" si="43"/>
        <v>-899080691.41063297</v>
      </c>
      <c r="AS53" s="19">
        <f t="shared" si="44"/>
        <v>-856469288.99524248</v>
      </c>
      <c r="AT53" s="19">
        <f t="shared" si="45"/>
        <v>-814973962.55047381</v>
      </c>
      <c r="AU53" s="19">
        <f t="shared" si="46"/>
        <v>-774788914.46261871</v>
      </c>
      <c r="AV53" s="19">
        <f t="shared" si="47"/>
        <v>-736093180.76104724</v>
      </c>
      <c r="AW53" s="19">
        <f t="shared" si="48"/>
        <v>-699048633.6476754</v>
      </c>
      <c r="AX53" s="19">
        <f t="shared" si="49"/>
        <v>-663798209.34503818</v>
      </c>
      <c r="AY53" s="19">
        <f t="shared" si="50"/>
        <v>-630464380.54648793</v>
      </c>
      <c r="AZ53" s="19">
        <f t="shared" si="51"/>
        <v>-599147888.430058</v>
      </c>
      <c r="BA53" s="19">
        <f t="shared" si="52"/>
        <v>-569926744.79824162</v>
      </c>
      <c r="BB53" s="19">
        <f t="shared" si="53"/>
        <v>-542855510.54648376</v>
      </c>
      <c r="BC53" s="19">
        <f t="shared" si="54"/>
        <v>-517964852.45254672</v>
      </c>
      <c r="BD53" s="19">
        <f t="shared" si="55"/>
        <v>-495261376.31389576</v>
      </c>
      <c r="BE53" s="19">
        <f t="shared" si="56"/>
        <v>-474727730.82249665</v>
      </c>
      <c r="BF53" s="19">
        <f t="shared" si="57"/>
        <v>-456322973.31982815</v>
      </c>
      <c r="BG53" s="19">
        <f t="shared" si="58"/>
        <v>-439983185.76432872</v>
      </c>
      <c r="BH53" s="19">
        <f t="shared" si="59"/>
        <v>-425622326.89392966</v>
      </c>
      <c r="BI53" s="19">
        <f t="shared" si="60"/>
        <v>-413133304.6834138</v>
      </c>
      <c r="BJ53" s="19">
        <f t="shared" si="61"/>
        <v>-402389251.76731366</v>
      </c>
      <c r="BK53" s="19">
        <f t="shared" si="62"/>
        <v>-393244985.49469185</v>
      </c>
      <c r="BL53" s="19">
        <f t="shared" si="63"/>
        <v>-385538633.65916997</v>
      </c>
      <c r="BM53" s="19">
        <f t="shared" si="64"/>
        <v>-379093406.65162772</v>
      </c>
      <c r="BN53" s="19">
        <f t="shared" si="65"/>
        <v>-373719496.751917</v>
      </c>
      <c r="BO53" s="19">
        <f t="shared" si="66"/>
        <v>-369216085.44317722</v>
      </c>
      <c r="BP53" s="19">
        <f t="shared" si="67"/>
        <v>-365373439.93044233</v>
      </c>
      <c r="BQ53" s="19">
        <f t="shared" si="68"/>
        <v>-361975080.4092049</v>
      </c>
      <c r="BR53" s="18">
        <f t="shared" si="69"/>
        <v>-358800000</v>
      </c>
      <c r="BT53" s="52"/>
      <c r="BU53" s="22">
        <v>5.3333333333333337E-2</v>
      </c>
      <c r="BV53" s="18">
        <v>0</v>
      </c>
      <c r="BW53" s="20">
        <f t="shared" ref="BW53:CY53" si="117">$B$20/($B$21-$B$22*BV53)</f>
        <v>0.34883720930232553</v>
      </c>
      <c r="BX53" s="20">
        <f t="shared" si="117"/>
        <v>0.39716748768472904</v>
      </c>
      <c r="BY53" s="20">
        <f t="shared" si="117"/>
        <v>0.40494040593779607</v>
      </c>
      <c r="BZ53" s="20">
        <f t="shared" si="117"/>
        <v>0.4062190081621499</v>
      </c>
      <c r="CA53" s="20">
        <f t="shared" si="117"/>
        <v>0.40643010492156101</v>
      </c>
      <c r="CB53" s="20">
        <f t="shared" si="117"/>
        <v>0.40646497802255066</v>
      </c>
      <c r="CC53" s="20">
        <f t="shared" si="117"/>
        <v>0.40647073962099717</v>
      </c>
      <c r="CD53" s="20">
        <f t="shared" si="117"/>
        <v>0.40647169154566137</v>
      </c>
      <c r="CE53" s="20">
        <f t="shared" si="117"/>
        <v>0.40647184882198806</v>
      </c>
      <c r="CF53" s="20">
        <f t="shared" si="117"/>
        <v>0.40647187480708435</v>
      </c>
      <c r="CG53" s="20">
        <f t="shared" si="117"/>
        <v>0.40647187910032606</v>
      </c>
      <c r="CH53" s="20">
        <f t="shared" si="117"/>
        <v>0.40647187980965277</v>
      </c>
      <c r="CI53" s="20">
        <f t="shared" si="117"/>
        <v>0.4064718799268473</v>
      </c>
      <c r="CJ53" s="20">
        <f t="shared" si="117"/>
        <v>0.40647187994621015</v>
      </c>
      <c r="CK53" s="20">
        <f t="shared" si="117"/>
        <v>0.40647187994940925</v>
      </c>
      <c r="CL53" s="20">
        <f t="shared" si="117"/>
        <v>0.40647187994993778</v>
      </c>
      <c r="CM53" s="20">
        <f t="shared" si="117"/>
        <v>0.40647187995002515</v>
      </c>
      <c r="CN53" s="20">
        <f t="shared" si="117"/>
        <v>0.40647187995003953</v>
      </c>
      <c r="CO53" s="20">
        <f t="shared" si="117"/>
        <v>0.40647187995004191</v>
      </c>
      <c r="CP53" s="20">
        <f t="shared" si="117"/>
        <v>0.40647187995004236</v>
      </c>
      <c r="CQ53" s="20">
        <f t="shared" si="117"/>
        <v>0.40647187995004236</v>
      </c>
      <c r="CR53" s="20">
        <f t="shared" si="117"/>
        <v>0.40647187995004236</v>
      </c>
      <c r="CS53" s="20">
        <f t="shared" si="117"/>
        <v>0.40647187995004236</v>
      </c>
      <c r="CT53" s="20">
        <f t="shared" si="117"/>
        <v>0.40647187995004236</v>
      </c>
      <c r="CU53" s="20">
        <f t="shared" si="117"/>
        <v>0.40647187995004236</v>
      </c>
      <c r="CV53" s="20">
        <f t="shared" si="117"/>
        <v>0.40647187995004236</v>
      </c>
      <c r="CW53" s="20">
        <f t="shared" si="117"/>
        <v>0.40647187995004236</v>
      </c>
      <c r="CX53" s="20">
        <f t="shared" si="117"/>
        <v>0.40647187995004236</v>
      </c>
      <c r="CY53" s="18">
        <f t="shared" si="117"/>
        <v>0.40647187995004236</v>
      </c>
      <c r="CZ53" s="12">
        <f t="shared" si="71"/>
        <v>100</v>
      </c>
      <c r="DB53" s="52"/>
      <c r="DC53" s="22">
        <v>5.3333333333333337E-2</v>
      </c>
      <c r="DD53" s="18">
        <f t="shared" si="72"/>
        <v>300</v>
      </c>
      <c r="DE53" s="20">
        <f t="shared" si="73"/>
        <v>191.56464565144148</v>
      </c>
      <c r="DF53" s="20">
        <f t="shared" si="74"/>
        <v>170.75228843807849</v>
      </c>
      <c r="DG53" s="20">
        <f t="shared" si="75"/>
        <v>161.34189996923888</v>
      </c>
      <c r="DH53" s="20">
        <f t="shared" si="76"/>
        <v>153.75842356662841</v>
      </c>
      <c r="DI53" s="20">
        <f t="shared" si="77"/>
        <v>146.57294666440865</v>
      </c>
      <c r="DJ53" s="20">
        <f t="shared" si="78"/>
        <v>139.59086949079173</v>
      </c>
      <c r="DK53" s="20">
        <f t="shared" si="79"/>
        <v>132.80941631209839</v>
      </c>
      <c r="DL53" s="20">
        <f t="shared" si="80"/>
        <v>126.25405078736026</v>
      </c>
      <c r="DM53" s="20">
        <f t="shared" si="81"/>
        <v>119.95243496539656</v>
      </c>
      <c r="DN53" s="20">
        <f t="shared" si="82"/>
        <v>113.93006954498308</v>
      </c>
      <c r="DO53" s="20">
        <f t="shared" si="83"/>
        <v>108.20937947005596</v>
      </c>
      <c r="DP53" s="20">
        <f t="shared" si="84"/>
        <v>102.80937628578279</v>
      </c>
      <c r="DQ53" s="20">
        <f t="shared" si="85"/>
        <v>97.745447839155403</v>
      </c>
      <c r="DR53" s="20">
        <f t="shared" si="86"/>
        <v>93.029205869556293</v>
      </c>
      <c r="DS53" s="20">
        <f t="shared" si="87"/>
        <v>88.668381157512471</v>
      </c>
      <c r="DT53" s="20">
        <f t="shared" si="88"/>
        <v>84.666764619110978</v>
      </c>
      <c r="DU53" s="20">
        <f t="shared" si="89"/>
        <v>81.024193576245722</v>
      </c>
      <c r="DV53" s="20">
        <f t="shared" si="90"/>
        <v>77.736582088648433</v>
      </c>
      <c r="DW53" s="20">
        <f t="shared" si="91"/>
        <v>74.795993760056746</v>
      </c>
      <c r="DX53" s="20">
        <f t="shared" si="92"/>
        <v>72.190754998625167</v>
      </c>
      <c r="DY53" s="20">
        <f t="shared" si="93"/>
        <v>69.905606349700435</v>
      </c>
      <c r="DZ53" s="20">
        <f t="shared" si="94"/>
        <v>67.921889231418788</v>
      </c>
      <c r="EA53" s="20">
        <f t="shared" si="95"/>
        <v>66.217765188009508</v>
      </c>
      <c r="EB53" s="20">
        <f t="shared" si="96"/>
        <v>64.768464626894882</v>
      </c>
      <c r="EC53" s="20">
        <f t="shared" si="97"/>
        <v>63.546561916138224</v>
      </c>
      <c r="ED53" s="20">
        <f t="shared" si="98"/>
        <v>62.522273679345751</v>
      </c>
      <c r="EE53" s="20">
        <f t="shared" si="99"/>
        <v>61.663777125514464</v>
      </c>
      <c r="EF53" s="20">
        <f t="shared" si="100"/>
        <v>60.937545280743457</v>
      </c>
      <c r="EG53" s="20">
        <f t="shared" si="101"/>
        <v>60.308696036422326</v>
      </c>
      <c r="EH53" s="18">
        <f t="shared" si="102"/>
        <v>59.741351984263929</v>
      </c>
    </row>
    <row r="54" spans="5:138" x14ac:dyDescent="0.3">
      <c r="E54" s="54"/>
      <c r="F54" s="22">
        <v>0.05</v>
      </c>
      <c r="G54" s="15">
        <f t="shared" si="10"/>
        <v>300</v>
      </c>
      <c r="H54" s="16">
        <f t="shared" si="11"/>
        <v>287.55731592280466</v>
      </c>
      <c r="I54" s="16">
        <f t="shared" si="12"/>
        <v>275.1789881112411</v>
      </c>
      <c r="J54" s="16">
        <f t="shared" si="13"/>
        <v>262.92862057242814</v>
      </c>
      <c r="K54" s="16">
        <f t="shared" si="14"/>
        <v>250.86832312504339</v>
      </c>
      <c r="L54" s="16">
        <f t="shared" si="15"/>
        <v>239.05798991969311</v>
      </c>
      <c r="M54" s="16">
        <f t="shared" si="16"/>
        <v>227.55460812415365</v>
      </c>
      <c r="N54" s="16">
        <f t="shared" si="17"/>
        <v>216.41160589358745</v>
      </c>
      <c r="O54" s="16">
        <f t="shared" si="18"/>
        <v>205.67824798272491</v>
      </c>
      <c r="P54" s="16">
        <f t="shared" si="19"/>
        <v>195.39908644890824</v>
      </c>
      <c r="Q54" s="16">
        <f t="shared" si="20"/>
        <v>185.61347286944118</v>
      </c>
      <c r="R54" s="16">
        <f t="shared" si="21"/>
        <v>176.35513738430183</v>
      </c>
      <c r="S54" s="16">
        <f t="shared" si="22"/>
        <v>167.65183870795164</v>
      </c>
      <c r="T54" s="16">
        <f t="shared" si="23"/>
        <v>159.52508806398609</v>
      </c>
      <c r="U54" s="16">
        <f t="shared" si="24"/>
        <v>151.98994881503035</v>
      </c>
      <c r="V54" s="16">
        <f t="shared" si="25"/>
        <v>145.05491241676182</v>
      </c>
      <c r="W54" s="16">
        <f t="shared" si="26"/>
        <v>138.72185024525527</v>
      </c>
      <c r="X54" s="16">
        <f t="shared" si="27"/>
        <v>132.98603985299519</v>
      </c>
      <c r="Y54" s="16">
        <f t="shared" si="28"/>
        <v>127.83626331823514</v>
      </c>
      <c r="Z54" s="16">
        <f t="shared" si="29"/>
        <v>123.25497457719483</v>
      </c>
      <c r="AA54" s="16">
        <f t="shared" si="30"/>
        <v>119.21853197592418</v>
      </c>
      <c r="AB54" s="16">
        <f t="shared" si="31"/>
        <v>115.69749175042317</v>
      </c>
      <c r="AC54" s="16">
        <f t="shared" si="32"/>
        <v>112.6569577367832</v>
      </c>
      <c r="AD54" s="16">
        <f t="shared" si="33"/>
        <v>110.05698232030858</v>
      </c>
      <c r="AE54" s="16">
        <f t="shared" si="34"/>
        <v>107.85301344262032</v>
      </c>
      <c r="AF54" s="16">
        <f t="shared" si="35"/>
        <v>105.99638238448568</v>
      </c>
      <c r="AG54" s="16">
        <f t="shared" si="36"/>
        <v>104.43482701328512</v>
      </c>
      <c r="AH54" s="16">
        <f t="shared" si="37"/>
        <v>103.11304521014014</v>
      </c>
      <c r="AI54" s="16">
        <f t="shared" si="38"/>
        <v>101.97327325501587</v>
      </c>
      <c r="AJ54" s="16">
        <f t="shared" si="103"/>
        <v>100.95588403142656</v>
      </c>
      <c r="AK54" s="15">
        <f t="shared" si="39"/>
        <v>100</v>
      </c>
      <c r="AL54" s="52"/>
      <c r="AM54" s="13">
        <v>0.05</v>
      </c>
      <c r="AN54" s="18">
        <f t="shared" si="40"/>
        <v>-1076400000</v>
      </c>
      <c r="AO54" s="19">
        <f t="shared" si="104"/>
        <v>-1031489214.5913073</v>
      </c>
      <c r="AP54" s="19">
        <f t="shared" si="41"/>
        <v>-986812453.81394577</v>
      </c>
      <c r="AQ54" s="19">
        <f t="shared" si="42"/>
        <v>-942601000.435359</v>
      </c>
      <c r="AR54" s="19">
        <f t="shared" si="43"/>
        <v>-899080691.41063297</v>
      </c>
      <c r="AS54" s="19">
        <f t="shared" si="44"/>
        <v>-856469288.99524236</v>
      </c>
      <c r="AT54" s="19">
        <f t="shared" si="45"/>
        <v>-814973962.55047381</v>
      </c>
      <c r="AU54" s="19">
        <f t="shared" si="46"/>
        <v>-774788914.46261871</v>
      </c>
      <c r="AV54" s="19">
        <f t="shared" si="47"/>
        <v>-736093180.76104724</v>
      </c>
      <c r="AW54" s="19">
        <f t="shared" si="48"/>
        <v>-699048633.6476754</v>
      </c>
      <c r="AX54" s="19">
        <f t="shared" si="49"/>
        <v>-663798209.34503818</v>
      </c>
      <c r="AY54" s="19">
        <f t="shared" si="50"/>
        <v>-630464380.54648793</v>
      </c>
      <c r="AZ54" s="19">
        <f t="shared" si="51"/>
        <v>-599147888.43005812</v>
      </c>
      <c r="BA54" s="19">
        <f t="shared" si="52"/>
        <v>-569926744.79824162</v>
      </c>
      <c r="BB54" s="19">
        <f t="shared" si="53"/>
        <v>-542855510.54648376</v>
      </c>
      <c r="BC54" s="19">
        <f t="shared" si="54"/>
        <v>-517964852.45254672</v>
      </c>
      <c r="BD54" s="19">
        <f t="shared" si="55"/>
        <v>-495261376.31389576</v>
      </c>
      <c r="BE54" s="19">
        <f t="shared" si="56"/>
        <v>-474727730.82249665</v>
      </c>
      <c r="BF54" s="19">
        <f t="shared" si="57"/>
        <v>-456322973.31982815</v>
      </c>
      <c r="BG54" s="19">
        <f t="shared" si="58"/>
        <v>-439983185.76432872</v>
      </c>
      <c r="BH54" s="19">
        <f t="shared" si="59"/>
        <v>-425622326.89392972</v>
      </c>
      <c r="BI54" s="19">
        <f t="shared" si="60"/>
        <v>-413133304.6834138</v>
      </c>
      <c r="BJ54" s="19">
        <f t="shared" si="61"/>
        <v>-402389251.76731366</v>
      </c>
      <c r="BK54" s="19">
        <f t="shared" si="62"/>
        <v>-393244985.49469185</v>
      </c>
      <c r="BL54" s="19">
        <f t="shared" si="63"/>
        <v>-385538633.65916997</v>
      </c>
      <c r="BM54" s="19">
        <f t="shared" si="64"/>
        <v>-379093406.65162772</v>
      </c>
      <c r="BN54" s="19">
        <f t="shared" si="65"/>
        <v>-373719496.751917</v>
      </c>
      <c r="BO54" s="19">
        <f t="shared" si="66"/>
        <v>-369216085.44317722</v>
      </c>
      <c r="BP54" s="19">
        <f t="shared" si="67"/>
        <v>-365373439.93044233</v>
      </c>
      <c r="BQ54" s="19">
        <f t="shared" si="68"/>
        <v>-361975080.4092049</v>
      </c>
      <c r="BR54" s="18">
        <f t="shared" si="69"/>
        <v>-358800000</v>
      </c>
      <c r="BT54" s="52"/>
      <c r="BU54" s="22">
        <v>0.05</v>
      </c>
      <c r="BV54" s="18">
        <v>0</v>
      </c>
      <c r="BW54" s="20">
        <f t="shared" ref="BW54:CY54" si="118">$B$20/($B$21-$B$22*BV54)</f>
        <v>0.34883720930232553</v>
      </c>
      <c r="BX54" s="20">
        <f t="shared" si="118"/>
        <v>0.39716748768472904</v>
      </c>
      <c r="BY54" s="20">
        <f t="shared" si="118"/>
        <v>0.40494040593779607</v>
      </c>
      <c r="BZ54" s="20">
        <f t="shared" si="118"/>
        <v>0.4062190081621499</v>
      </c>
      <c r="CA54" s="20">
        <f t="shared" si="118"/>
        <v>0.40643010492156101</v>
      </c>
      <c r="CB54" s="20">
        <f t="shared" si="118"/>
        <v>0.40646497802255066</v>
      </c>
      <c r="CC54" s="20">
        <f t="shared" si="118"/>
        <v>0.40647073962099717</v>
      </c>
      <c r="CD54" s="20">
        <f t="shared" si="118"/>
        <v>0.40647169154566137</v>
      </c>
      <c r="CE54" s="20">
        <f t="shared" si="118"/>
        <v>0.40647184882198806</v>
      </c>
      <c r="CF54" s="20">
        <f t="shared" si="118"/>
        <v>0.40647187480708435</v>
      </c>
      <c r="CG54" s="20">
        <f t="shared" si="118"/>
        <v>0.40647187910032606</v>
      </c>
      <c r="CH54" s="20">
        <f t="shared" si="118"/>
        <v>0.40647187980965277</v>
      </c>
      <c r="CI54" s="20">
        <f t="shared" si="118"/>
        <v>0.4064718799268473</v>
      </c>
      <c r="CJ54" s="20">
        <f t="shared" si="118"/>
        <v>0.40647187994621015</v>
      </c>
      <c r="CK54" s="20">
        <f t="shared" si="118"/>
        <v>0.40647187994940925</v>
      </c>
      <c r="CL54" s="20">
        <f t="shared" si="118"/>
        <v>0.40647187994993778</v>
      </c>
      <c r="CM54" s="20">
        <f t="shared" si="118"/>
        <v>0.40647187995002515</v>
      </c>
      <c r="CN54" s="20">
        <f t="shared" si="118"/>
        <v>0.40647187995003953</v>
      </c>
      <c r="CO54" s="20">
        <f t="shared" si="118"/>
        <v>0.40647187995004191</v>
      </c>
      <c r="CP54" s="20">
        <f t="shared" si="118"/>
        <v>0.40647187995004236</v>
      </c>
      <c r="CQ54" s="20">
        <f t="shared" si="118"/>
        <v>0.40647187995004236</v>
      </c>
      <c r="CR54" s="20">
        <f t="shared" si="118"/>
        <v>0.40647187995004236</v>
      </c>
      <c r="CS54" s="20">
        <f t="shared" si="118"/>
        <v>0.40647187995004236</v>
      </c>
      <c r="CT54" s="20">
        <f t="shared" si="118"/>
        <v>0.40647187995004236</v>
      </c>
      <c r="CU54" s="20">
        <f t="shared" si="118"/>
        <v>0.40647187995004236</v>
      </c>
      <c r="CV54" s="20">
        <f t="shared" si="118"/>
        <v>0.40647187995004236</v>
      </c>
      <c r="CW54" s="20">
        <f t="shared" si="118"/>
        <v>0.40647187995004236</v>
      </c>
      <c r="CX54" s="20">
        <f t="shared" si="118"/>
        <v>0.40647187995004236</v>
      </c>
      <c r="CY54" s="18">
        <f t="shared" si="118"/>
        <v>0.40647187995004236</v>
      </c>
      <c r="CZ54" s="12">
        <f t="shared" si="71"/>
        <v>100</v>
      </c>
      <c r="DB54" s="52"/>
      <c r="DC54" s="22">
        <v>0.05</v>
      </c>
      <c r="DD54" s="18">
        <f t="shared" si="72"/>
        <v>300</v>
      </c>
      <c r="DE54" s="20">
        <f t="shared" si="73"/>
        <v>191.56464565144148</v>
      </c>
      <c r="DF54" s="20">
        <f t="shared" si="74"/>
        <v>170.75228843807847</v>
      </c>
      <c r="DG54" s="20">
        <f t="shared" si="75"/>
        <v>161.34189996923885</v>
      </c>
      <c r="DH54" s="20">
        <f t="shared" si="76"/>
        <v>153.75842356662841</v>
      </c>
      <c r="DI54" s="20">
        <f t="shared" si="77"/>
        <v>146.57294666440865</v>
      </c>
      <c r="DJ54" s="20">
        <f t="shared" si="78"/>
        <v>139.59086949079173</v>
      </c>
      <c r="DK54" s="20">
        <f t="shared" si="79"/>
        <v>132.80941631209839</v>
      </c>
      <c r="DL54" s="20">
        <f t="shared" si="80"/>
        <v>126.25405078736026</v>
      </c>
      <c r="DM54" s="20">
        <f t="shared" si="81"/>
        <v>119.95243496539656</v>
      </c>
      <c r="DN54" s="20">
        <f t="shared" si="82"/>
        <v>113.93006954498308</v>
      </c>
      <c r="DO54" s="20">
        <f t="shared" si="83"/>
        <v>108.20937947005596</v>
      </c>
      <c r="DP54" s="20">
        <f t="shared" si="84"/>
        <v>102.80937628578282</v>
      </c>
      <c r="DQ54" s="20">
        <f t="shared" si="85"/>
        <v>97.745447839155418</v>
      </c>
      <c r="DR54" s="20">
        <f t="shared" si="86"/>
        <v>93.029205869556307</v>
      </c>
      <c r="DS54" s="20">
        <f t="shared" si="87"/>
        <v>88.668381157512485</v>
      </c>
      <c r="DT54" s="20">
        <f t="shared" si="88"/>
        <v>84.666764619110978</v>
      </c>
      <c r="DU54" s="20">
        <f t="shared" si="89"/>
        <v>81.024193576245722</v>
      </c>
      <c r="DV54" s="20">
        <f t="shared" si="90"/>
        <v>77.736582088648433</v>
      </c>
      <c r="DW54" s="20">
        <f t="shared" si="91"/>
        <v>74.795993760056746</v>
      </c>
      <c r="DX54" s="20">
        <f t="shared" si="92"/>
        <v>72.190754998625167</v>
      </c>
      <c r="DY54" s="20">
        <f t="shared" si="93"/>
        <v>69.905606349700435</v>
      </c>
      <c r="DZ54" s="20">
        <f t="shared" si="94"/>
        <v>67.921889231418788</v>
      </c>
      <c r="EA54" s="20">
        <f t="shared" si="95"/>
        <v>66.217765188009508</v>
      </c>
      <c r="EB54" s="20">
        <f t="shared" si="96"/>
        <v>64.768464626894882</v>
      </c>
      <c r="EC54" s="20">
        <f t="shared" si="97"/>
        <v>63.546561916138224</v>
      </c>
      <c r="ED54" s="20">
        <f t="shared" si="98"/>
        <v>62.522273679345751</v>
      </c>
      <c r="EE54" s="20">
        <f t="shared" si="99"/>
        <v>61.663777125514464</v>
      </c>
      <c r="EF54" s="20">
        <f t="shared" si="100"/>
        <v>60.937545280743457</v>
      </c>
      <c r="EG54" s="20">
        <f t="shared" si="101"/>
        <v>60.308696036422326</v>
      </c>
      <c r="EH54" s="18">
        <f t="shared" si="102"/>
        <v>59.741351984263929</v>
      </c>
    </row>
    <row r="55" spans="5:138" x14ac:dyDescent="0.3">
      <c r="E55" s="54"/>
      <c r="F55" s="22">
        <v>4.6666666666666669E-2</v>
      </c>
      <c r="G55" s="15">
        <f t="shared" si="10"/>
        <v>300</v>
      </c>
      <c r="H55" s="16">
        <f t="shared" si="11"/>
        <v>287.55731592280466</v>
      </c>
      <c r="I55" s="16">
        <f t="shared" si="12"/>
        <v>275.17898811124115</v>
      </c>
      <c r="J55" s="16">
        <f t="shared" si="13"/>
        <v>262.92862057242814</v>
      </c>
      <c r="K55" s="16">
        <f t="shared" si="14"/>
        <v>250.86832312504339</v>
      </c>
      <c r="L55" s="16">
        <f t="shared" si="15"/>
        <v>239.05798991969311</v>
      </c>
      <c r="M55" s="16">
        <f t="shared" si="16"/>
        <v>227.55460812415367</v>
      </c>
      <c r="N55" s="16">
        <f t="shared" si="17"/>
        <v>216.41160589358751</v>
      </c>
      <c r="O55" s="16">
        <f t="shared" si="18"/>
        <v>205.67824798272497</v>
      </c>
      <c r="P55" s="16">
        <f t="shared" si="19"/>
        <v>195.39908644890832</v>
      </c>
      <c r="Q55" s="16">
        <f t="shared" si="20"/>
        <v>185.61347286944124</v>
      </c>
      <c r="R55" s="16">
        <f t="shared" si="21"/>
        <v>176.35513738430191</v>
      </c>
      <c r="S55" s="16">
        <f t="shared" si="22"/>
        <v>167.6518387079517</v>
      </c>
      <c r="T55" s="16">
        <f t="shared" si="23"/>
        <v>159.52508806398612</v>
      </c>
      <c r="U55" s="16">
        <f t="shared" si="24"/>
        <v>151.98994881503035</v>
      </c>
      <c r="V55" s="16">
        <f t="shared" si="25"/>
        <v>145.05491241676185</v>
      </c>
      <c r="W55" s="16">
        <f t="shared" si="26"/>
        <v>138.72185024525533</v>
      </c>
      <c r="X55" s="16">
        <f t="shared" si="27"/>
        <v>132.98603985299525</v>
      </c>
      <c r="Y55" s="16">
        <f t="shared" si="28"/>
        <v>127.83626331823518</v>
      </c>
      <c r="Z55" s="16">
        <f t="shared" si="29"/>
        <v>123.25497457719487</v>
      </c>
      <c r="AA55" s="16">
        <f t="shared" si="30"/>
        <v>119.21853197592424</v>
      </c>
      <c r="AB55" s="16">
        <f t="shared" si="31"/>
        <v>115.6974917504232</v>
      </c>
      <c r="AC55" s="16">
        <f t="shared" si="32"/>
        <v>112.65695773678323</v>
      </c>
      <c r="AD55" s="16">
        <f t="shared" si="33"/>
        <v>110.05698232030861</v>
      </c>
      <c r="AE55" s="16">
        <f t="shared" si="34"/>
        <v>107.85301344262035</v>
      </c>
      <c r="AF55" s="16">
        <f t="shared" si="35"/>
        <v>105.99638238448571</v>
      </c>
      <c r="AG55" s="16">
        <f t="shared" si="36"/>
        <v>104.43482701328514</v>
      </c>
      <c r="AH55" s="16">
        <f t="shared" si="37"/>
        <v>103.11304521014017</v>
      </c>
      <c r="AI55" s="16">
        <f t="shared" si="38"/>
        <v>101.9732732550159</v>
      </c>
      <c r="AJ55" s="16">
        <f t="shared" si="103"/>
        <v>100.95588403142658</v>
      </c>
      <c r="AK55" s="15">
        <f t="shared" si="39"/>
        <v>100</v>
      </c>
      <c r="AL55" s="52"/>
      <c r="AM55" s="13">
        <v>4.6666666666666669E-2</v>
      </c>
      <c r="AN55" s="18">
        <f t="shared" si="40"/>
        <v>-1076400000</v>
      </c>
      <c r="AO55" s="19">
        <f t="shared" si="104"/>
        <v>-1031489214.5913075</v>
      </c>
      <c r="AP55" s="19">
        <f t="shared" si="41"/>
        <v>-986812453.81394601</v>
      </c>
      <c r="AQ55" s="19">
        <f t="shared" si="42"/>
        <v>-942601000.435359</v>
      </c>
      <c r="AR55" s="19">
        <f t="shared" si="43"/>
        <v>-899080691.41063297</v>
      </c>
      <c r="AS55" s="19">
        <f t="shared" si="44"/>
        <v>-856469288.99524248</v>
      </c>
      <c r="AT55" s="19">
        <f t="shared" si="45"/>
        <v>-814973962.55047393</v>
      </c>
      <c r="AU55" s="19">
        <f t="shared" si="46"/>
        <v>-774788914.46261883</v>
      </c>
      <c r="AV55" s="19">
        <f t="shared" si="47"/>
        <v>-736093180.76104724</v>
      </c>
      <c r="AW55" s="19">
        <f t="shared" si="48"/>
        <v>-699048633.64767563</v>
      </c>
      <c r="AX55" s="19">
        <f t="shared" si="49"/>
        <v>-663798209.34503841</v>
      </c>
      <c r="AY55" s="19">
        <f t="shared" si="50"/>
        <v>-630464380.54648817</v>
      </c>
      <c r="AZ55" s="19">
        <f t="shared" si="51"/>
        <v>-599147888.43005836</v>
      </c>
      <c r="BA55" s="19">
        <f t="shared" si="52"/>
        <v>-569926744.79824173</v>
      </c>
      <c r="BB55" s="19">
        <f t="shared" si="53"/>
        <v>-542855510.54648376</v>
      </c>
      <c r="BC55" s="19">
        <f t="shared" si="54"/>
        <v>-517964852.45254683</v>
      </c>
      <c r="BD55" s="19">
        <f t="shared" si="55"/>
        <v>-495261376.31389594</v>
      </c>
      <c r="BE55" s="19">
        <f t="shared" si="56"/>
        <v>-474727730.82249683</v>
      </c>
      <c r="BF55" s="19">
        <f t="shared" si="57"/>
        <v>-456322973.31982821</v>
      </c>
      <c r="BG55" s="19">
        <f t="shared" si="58"/>
        <v>-439983185.76432878</v>
      </c>
      <c r="BH55" s="19">
        <f t="shared" si="59"/>
        <v>-425622326.89392978</v>
      </c>
      <c r="BI55" s="19">
        <f t="shared" si="60"/>
        <v>-413133304.68341386</v>
      </c>
      <c r="BJ55" s="19">
        <f t="shared" si="61"/>
        <v>-402389251.76731366</v>
      </c>
      <c r="BK55" s="19">
        <f t="shared" si="62"/>
        <v>-393244985.49469191</v>
      </c>
      <c r="BL55" s="19">
        <f t="shared" si="63"/>
        <v>-385538633.65917009</v>
      </c>
      <c r="BM55" s="19">
        <f t="shared" si="64"/>
        <v>-379093406.65162784</v>
      </c>
      <c r="BN55" s="19">
        <f t="shared" si="65"/>
        <v>-373719496.75191706</v>
      </c>
      <c r="BO55" s="19">
        <f t="shared" si="66"/>
        <v>-369216085.44317728</v>
      </c>
      <c r="BP55" s="19">
        <f t="shared" si="67"/>
        <v>-365373439.93044239</v>
      </c>
      <c r="BQ55" s="19">
        <f t="shared" si="68"/>
        <v>-361975080.4092049</v>
      </c>
      <c r="BR55" s="18">
        <f t="shared" si="69"/>
        <v>-358800000</v>
      </c>
      <c r="BT55" s="52"/>
      <c r="BU55" s="22">
        <v>4.6666666666666669E-2</v>
      </c>
      <c r="BV55" s="18">
        <v>0</v>
      </c>
      <c r="BW55" s="20">
        <f t="shared" ref="BW55:CY55" si="119">$B$20/($B$21-$B$22*BV55)</f>
        <v>0.34883720930232553</v>
      </c>
      <c r="BX55" s="20">
        <f t="shared" si="119"/>
        <v>0.39716748768472904</v>
      </c>
      <c r="BY55" s="20">
        <f t="shared" si="119"/>
        <v>0.40494040593779607</v>
      </c>
      <c r="BZ55" s="20">
        <f t="shared" si="119"/>
        <v>0.4062190081621499</v>
      </c>
      <c r="CA55" s="20">
        <f t="shared" si="119"/>
        <v>0.40643010492156101</v>
      </c>
      <c r="CB55" s="20">
        <f t="shared" si="119"/>
        <v>0.40646497802255066</v>
      </c>
      <c r="CC55" s="20">
        <f t="shared" si="119"/>
        <v>0.40647073962099717</v>
      </c>
      <c r="CD55" s="20">
        <f t="shared" si="119"/>
        <v>0.40647169154566137</v>
      </c>
      <c r="CE55" s="20">
        <f t="shared" si="119"/>
        <v>0.40647184882198806</v>
      </c>
      <c r="CF55" s="20">
        <f t="shared" si="119"/>
        <v>0.40647187480708435</v>
      </c>
      <c r="CG55" s="20">
        <f t="shared" si="119"/>
        <v>0.40647187910032606</v>
      </c>
      <c r="CH55" s="20">
        <f t="shared" si="119"/>
        <v>0.40647187980965277</v>
      </c>
      <c r="CI55" s="20">
        <f t="shared" si="119"/>
        <v>0.4064718799268473</v>
      </c>
      <c r="CJ55" s="20">
        <f t="shared" si="119"/>
        <v>0.40647187994621015</v>
      </c>
      <c r="CK55" s="20">
        <f t="shared" si="119"/>
        <v>0.40647187994940925</v>
      </c>
      <c r="CL55" s="20">
        <f t="shared" si="119"/>
        <v>0.40647187994993778</v>
      </c>
      <c r="CM55" s="20">
        <f t="shared" si="119"/>
        <v>0.40647187995002515</v>
      </c>
      <c r="CN55" s="20">
        <f t="shared" si="119"/>
        <v>0.40647187995003953</v>
      </c>
      <c r="CO55" s="20">
        <f t="shared" si="119"/>
        <v>0.40647187995004191</v>
      </c>
      <c r="CP55" s="20">
        <f t="shared" si="119"/>
        <v>0.40647187995004236</v>
      </c>
      <c r="CQ55" s="20">
        <f t="shared" si="119"/>
        <v>0.40647187995004236</v>
      </c>
      <c r="CR55" s="20">
        <f t="shared" si="119"/>
        <v>0.40647187995004236</v>
      </c>
      <c r="CS55" s="20">
        <f t="shared" si="119"/>
        <v>0.40647187995004236</v>
      </c>
      <c r="CT55" s="20">
        <f t="shared" si="119"/>
        <v>0.40647187995004236</v>
      </c>
      <c r="CU55" s="20">
        <f t="shared" si="119"/>
        <v>0.40647187995004236</v>
      </c>
      <c r="CV55" s="20">
        <f t="shared" si="119"/>
        <v>0.40647187995004236</v>
      </c>
      <c r="CW55" s="20">
        <f t="shared" si="119"/>
        <v>0.40647187995004236</v>
      </c>
      <c r="CX55" s="20">
        <f t="shared" si="119"/>
        <v>0.40647187995004236</v>
      </c>
      <c r="CY55" s="18">
        <f t="shared" si="119"/>
        <v>0.40647187995004236</v>
      </c>
      <c r="CZ55" s="12">
        <f t="shared" si="71"/>
        <v>100</v>
      </c>
      <c r="DB55" s="52"/>
      <c r="DC55" s="22">
        <v>4.6666666666666669E-2</v>
      </c>
      <c r="DD55" s="18">
        <f t="shared" si="72"/>
        <v>300</v>
      </c>
      <c r="DE55" s="20">
        <f t="shared" si="73"/>
        <v>191.56464565144148</v>
      </c>
      <c r="DF55" s="20">
        <f t="shared" si="74"/>
        <v>170.75228843807849</v>
      </c>
      <c r="DG55" s="20">
        <f t="shared" si="75"/>
        <v>161.34189996923888</v>
      </c>
      <c r="DH55" s="20">
        <f t="shared" si="76"/>
        <v>153.75842356662841</v>
      </c>
      <c r="DI55" s="20">
        <f t="shared" si="77"/>
        <v>146.57294666440865</v>
      </c>
      <c r="DJ55" s="20">
        <f t="shared" si="78"/>
        <v>139.59086949079173</v>
      </c>
      <c r="DK55" s="20">
        <f t="shared" si="79"/>
        <v>132.80941631209842</v>
      </c>
      <c r="DL55" s="20">
        <f t="shared" si="80"/>
        <v>126.25405078736028</v>
      </c>
      <c r="DM55" s="20">
        <f t="shared" si="81"/>
        <v>119.95243496539662</v>
      </c>
      <c r="DN55" s="20">
        <f t="shared" si="82"/>
        <v>113.93006954498313</v>
      </c>
      <c r="DO55" s="20">
        <f t="shared" si="83"/>
        <v>108.20937947005601</v>
      </c>
      <c r="DP55" s="20">
        <f t="shared" si="84"/>
        <v>102.80937628578285</v>
      </c>
      <c r="DQ55" s="20">
        <f t="shared" si="85"/>
        <v>97.745447839155432</v>
      </c>
      <c r="DR55" s="20">
        <f t="shared" si="86"/>
        <v>93.029205869556307</v>
      </c>
      <c r="DS55" s="20">
        <f t="shared" si="87"/>
        <v>88.668381157512485</v>
      </c>
      <c r="DT55" s="20">
        <f t="shared" si="88"/>
        <v>84.666764619111007</v>
      </c>
      <c r="DU55" s="20">
        <f t="shared" si="89"/>
        <v>81.02419357624575</v>
      </c>
      <c r="DV55" s="20">
        <f t="shared" si="90"/>
        <v>77.736582088648461</v>
      </c>
      <c r="DW55" s="20">
        <f t="shared" si="91"/>
        <v>74.79599376005676</v>
      </c>
      <c r="DX55" s="20">
        <f t="shared" si="92"/>
        <v>72.190754998625195</v>
      </c>
      <c r="DY55" s="20">
        <f t="shared" si="93"/>
        <v>69.905606349700449</v>
      </c>
      <c r="DZ55" s="20">
        <f t="shared" si="94"/>
        <v>67.921889231418803</v>
      </c>
      <c r="EA55" s="20">
        <f t="shared" si="95"/>
        <v>66.217765188009523</v>
      </c>
      <c r="EB55" s="20">
        <f t="shared" si="96"/>
        <v>64.768464626894897</v>
      </c>
      <c r="EC55" s="20">
        <f t="shared" si="97"/>
        <v>63.546561916138231</v>
      </c>
      <c r="ED55" s="20">
        <f t="shared" si="98"/>
        <v>62.522273679345759</v>
      </c>
      <c r="EE55" s="20">
        <f t="shared" si="99"/>
        <v>61.663777125514478</v>
      </c>
      <c r="EF55" s="20">
        <f t="shared" si="100"/>
        <v>60.937545280743464</v>
      </c>
      <c r="EG55" s="20">
        <f t="shared" si="101"/>
        <v>60.30869603642234</v>
      </c>
      <c r="EH55" s="18">
        <f t="shared" si="102"/>
        <v>59.741351984263929</v>
      </c>
    </row>
    <row r="56" spans="5:138" x14ac:dyDescent="0.3">
      <c r="E56" s="54"/>
      <c r="F56" s="22">
        <v>4.3333333333333335E-2</v>
      </c>
      <c r="G56" s="15">
        <f t="shared" si="10"/>
        <v>300</v>
      </c>
      <c r="H56" s="16">
        <f t="shared" si="11"/>
        <v>287.55731592280466</v>
      </c>
      <c r="I56" s="16">
        <f t="shared" si="12"/>
        <v>275.17898811124115</v>
      </c>
      <c r="J56" s="16">
        <f t="shared" si="13"/>
        <v>262.92862057242814</v>
      </c>
      <c r="K56" s="16">
        <f t="shared" si="14"/>
        <v>250.86832312504339</v>
      </c>
      <c r="L56" s="16">
        <f t="shared" si="15"/>
        <v>239.05798991969317</v>
      </c>
      <c r="M56" s="16">
        <f t="shared" si="16"/>
        <v>227.55460812415373</v>
      </c>
      <c r="N56" s="16">
        <f t="shared" si="17"/>
        <v>216.41160589358753</v>
      </c>
      <c r="O56" s="16">
        <f t="shared" si="18"/>
        <v>205.678247982725</v>
      </c>
      <c r="P56" s="16">
        <f t="shared" si="19"/>
        <v>195.39908644890835</v>
      </c>
      <c r="Q56" s="16">
        <f t="shared" si="20"/>
        <v>185.61347286944127</v>
      </c>
      <c r="R56" s="16">
        <f t="shared" si="21"/>
        <v>176.35513738430194</v>
      </c>
      <c r="S56" s="16">
        <f t="shared" si="22"/>
        <v>167.65183870795173</v>
      </c>
      <c r="T56" s="16">
        <f t="shared" si="23"/>
        <v>159.52508806398617</v>
      </c>
      <c r="U56" s="16">
        <f t="shared" si="24"/>
        <v>151.9899488150304</v>
      </c>
      <c r="V56" s="16">
        <f t="shared" si="25"/>
        <v>145.05491241676188</v>
      </c>
      <c r="W56" s="16">
        <f t="shared" si="26"/>
        <v>138.72185024525535</v>
      </c>
      <c r="X56" s="16">
        <f t="shared" si="27"/>
        <v>132.98603985299525</v>
      </c>
      <c r="Y56" s="16">
        <f t="shared" si="28"/>
        <v>127.83626331823521</v>
      </c>
      <c r="Z56" s="16">
        <f t="shared" si="29"/>
        <v>123.25497457719487</v>
      </c>
      <c r="AA56" s="16">
        <f t="shared" si="30"/>
        <v>119.21853197592424</v>
      </c>
      <c r="AB56" s="16">
        <f t="shared" si="31"/>
        <v>115.69749175042321</v>
      </c>
      <c r="AC56" s="16">
        <f t="shared" si="32"/>
        <v>112.65695773678324</v>
      </c>
      <c r="AD56" s="16">
        <f t="shared" si="33"/>
        <v>110.05698232030863</v>
      </c>
      <c r="AE56" s="16">
        <f t="shared" si="34"/>
        <v>107.85301344262038</v>
      </c>
      <c r="AF56" s="16">
        <f t="shared" si="35"/>
        <v>105.99638238448574</v>
      </c>
      <c r="AG56" s="16">
        <f t="shared" si="36"/>
        <v>104.43482701328516</v>
      </c>
      <c r="AH56" s="16">
        <f t="shared" si="37"/>
        <v>103.11304521014017</v>
      </c>
      <c r="AI56" s="16">
        <f t="shared" ref="AI56:AI69" si="120">CX56*AJ56+EF56</f>
        <v>101.9732732550159</v>
      </c>
      <c r="AJ56" s="16">
        <f t="shared" si="103"/>
        <v>100.95588403142658</v>
      </c>
      <c r="AK56" s="15">
        <f t="shared" si="39"/>
        <v>100</v>
      </c>
      <c r="AL56" s="52"/>
      <c r="AM56" s="13">
        <v>4.3333333333333335E-2</v>
      </c>
      <c r="AN56" s="18">
        <f t="shared" si="40"/>
        <v>-1076400000</v>
      </c>
      <c r="AO56" s="19">
        <f t="shared" si="104"/>
        <v>-1031489214.5913075</v>
      </c>
      <c r="AP56" s="19">
        <f t="shared" si="41"/>
        <v>-986812453.81394601</v>
      </c>
      <c r="AQ56" s="19">
        <f t="shared" si="42"/>
        <v>-942601000.435359</v>
      </c>
      <c r="AR56" s="19">
        <f t="shared" si="43"/>
        <v>-899080691.41063297</v>
      </c>
      <c r="AS56" s="19">
        <f t="shared" si="44"/>
        <v>-856469288.9952426</v>
      </c>
      <c r="AT56" s="19">
        <f t="shared" si="45"/>
        <v>-814973962.55047405</v>
      </c>
      <c r="AU56" s="19">
        <f t="shared" si="46"/>
        <v>-774788914.46261895</v>
      </c>
      <c r="AV56" s="19">
        <f t="shared" si="47"/>
        <v>-736093180.76104724</v>
      </c>
      <c r="AW56" s="19">
        <f t="shared" si="48"/>
        <v>-699048633.64767575</v>
      </c>
      <c r="AX56" s="19">
        <f t="shared" si="49"/>
        <v>-663798209.34503865</v>
      </c>
      <c r="AY56" s="19">
        <f t="shared" si="50"/>
        <v>-630464380.5464884</v>
      </c>
      <c r="AZ56" s="19">
        <f t="shared" si="51"/>
        <v>-599147888.43005836</v>
      </c>
      <c r="BA56" s="19">
        <f t="shared" si="52"/>
        <v>-569926744.79824197</v>
      </c>
      <c r="BB56" s="19">
        <f t="shared" si="53"/>
        <v>-542855510.54648387</v>
      </c>
      <c r="BC56" s="19">
        <f t="shared" si="54"/>
        <v>-517964852.45254695</v>
      </c>
      <c r="BD56" s="19">
        <f t="shared" si="55"/>
        <v>-495261376.31389606</v>
      </c>
      <c r="BE56" s="19">
        <f t="shared" si="56"/>
        <v>-474727730.82249683</v>
      </c>
      <c r="BF56" s="19">
        <f t="shared" si="57"/>
        <v>-456322973.31982833</v>
      </c>
      <c r="BG56" s="19">
        <f t="shared" si="58"/>
        <v>-439983185.76432878</v>
      </c>
      <c r="BH56" s="19">
        <f t="shared" si="59"/>
        <v>-425622326.89392984</v>
      </c>
      <c r="BI56" s="19">
        <f t="shared" si="60"/>
        <v>-413133304.68341392</v>
      </c>
      <c r="BJ56" s="19">
        <f t="shared" si="61"/>
        <v>-402389251.76731378</v>
      </c>
      <c r="BK56" s="19">
        <f t="shared" si="62"/>
        <v>-393244985.49469203</v>
      </c>
      <c r="BL56" s="19">
        <f t="shared" si="63"/>
        <v>-385538633.65917015</v>
      </c>
      <c r="BM56" s="19">
        <f t="shared" si="64"/>
        <v>-379093406.65162796</v>
      </c>
      <c r="BN56" s="19">
        <f t="shared" si="65"/>
        <v>-373719496.75191712</v>
      </c>
      <c r="BO56" s="19">
        <f t="shared" si="66"/>
        <v>-369216085.44317728</v>
      </c>
      <c r="BP56" s="19">
        <f t="shared" si="67"/>
        <v>-365373439.93044239</v>
      </c>
      <c r="BQ56" s="19">
        <f t="shared" si="68"/>
        <v>-361975080.4092049</v>
      </c>
      <c r="BR56" s="18">
        <f t="shared" si="69"/>
        <v>-358800000</v>
      </c>
      <c r="BT56" s="52"/>
      <c r="BU56" s="22">
        <v>4.3333333333333335E-2</v>
      </c>
      <c r="BV56" s="18">
        <v>0</v>
      </c>
      <c r="BW56" s="20">
        <f t="shared" ref="BW56:CY56" si="121">$B$20/($B$21-$B$22*BV56)</f>
        <v>0.34883720930232553</v>
      </c>
      <c r="BX56" s="20">
        <f t="shared" si="121"/>
        <v>0.39716748768472904</v>
      </c>
      <c r="BY56" s="20">
        <f t="shared" si="121"/>
        <v>0.40494040593779607</v>
      </c>
      <c r="BZ56" s="20">
        <f t="shared" si="121"/>
        <v>0.4062190081621499</v>
      </c>
      <c r="CA56" s="20">
        <f t="shared" si="121"/>
        <v>0.40643010492156101</v>
      </c>
      <c r="CB56" s="20">
        <f t="shared" si="121"/>
        <v>0.40646497802255066</v>
      </c>
      <c r="CC56" s="20">
        <f t="shared" si="121"/>
        <v>0.40647073962099717</v>
      </c>
      <c r="CD56" s="20">
        <f t="shared" si="121"/>
        <v>0.40647169154566137</v>
      </c>
      <c r="CE56" s="20">
        <f t="shared" si="121"/>
        <v>0.40647184882198806</v>
      </c>
      <c r="CF56" s="20">
        <f t="shared" si="121"/>
        <v>0.40647187480708435</v>
      </c>
      <c r="CG56" s="20">
        <f t="shared" si="121"/>
        <v>0.40647187910032606</v>
      </c>
      <c r="CH56" s="20">
        <f t="shared" si="121"/>
        <v>0.40647187980965277</v>
      </c>
      <c r="CI56" s="20">
        <f t="shared" si="121"/>
        <v>0.4064718799268473</v>
      </c>
      <c r="CJ56" s="20">
        <f t="shared" si="121"/>
        <v>0.40647187994621015</v>
      </c>
      <c r="CK56" s="20">
        <f t="shared" si="121"/>
        <v>0.40647187994940925</v>
      </c>
      <c r="CL56" s="20">
        <f t="shared" si="121"/>
        <v>0.40647187994993778</v>
      </c>
      <c r="CM56" s="20">
        <f t="shared" si="121"/>
        <v>0.40647187995002515</v>
      </c>
      <c r="CN56" s="20">
        <f t="shared" si="121"/>
        <v>0.40647187995003953</v>
      </c>
      <c r="CO56" s="20">
        <f t="shared" si="121"/>
        <v>0.40647187995004191</v>
      </c>
      <c r="CP56" s="20">
        <f t="shared" si="121"/>
        <v>0.40647187995004236</v>
      </c>
      <c r="CQ56" s="20">
        <f t="shared" si="121"/>
        <v>0.40647187995004236</v>
      </c>
      <c r="CR56" s="20">
        <f t="shared" si="121"/>
        <v>0.40647187995004236</v>
      </c>
      <c r="CS56" s="20">
        <f t="shared" si="121"/>
        <v>0.40647187995004236</v>
      </c>
      <c r="CT56" s="20">
        <f t="shared" si="121"/>
        <v>0.40647187995004236</v>
      </c>
      <c r="CU56" s="20">
        <f t="shared" si="121"/>
        <v>0.40647187995004236</v>
      </c>
      <c r="CV56" s="20">
        <f t="shared" si="121"/>
        <v>0.40647187995004236</v>
      </c>
      <c r="CW56" s="20">
        <f t="shared" si="121"/>
        <v>0.40647187995004236</v>
      </c>
      <c r="CX56" s="20">
        <f t="shared" si="121"/>
        <v>0.40647187995004236</v>
      </c>
      <c r="CY56" s="18">
        <f t="shared" si="121"/>
        <v>0.40647187995004236</v>
      </c>
      <c r="CZ56" s="12">
        <f t="shared" si="71"/>
        <v>100</v>
      </c>
      <c r="DB56" s="52"/>
      <c r="DC56" s="22">
        <v>4.3333333333333335E-2</v>
      </c>
      <c r="DD56" s="18">
        <f t="shared" si="72"/>
        <v>300</v>
      </c>
      <c r="DE56" s="20">
        <f t="shared" si="73"/>
        <v>191.56464565144148</v>
      </c>
      <c r="DF56" s="20">
        <f t="shared" si="74"/>
        <v>170.75228843807849</v>
      </c>
      <c r="DG56" s="20">
        <f t="shared" si="75"/>
        <v>161.34189996923888</v>
      </c>
      <c r="DH56" s="20">
        <f t="shared" si="76"/>
        <v>153.75842356662841</v>
      </c>
      <c r="DI56" s="20">
        <f t="shared" si="77"/>
        <v>146.57294666440868</v>
      </c>
      <c r="DJ56" s="20">
        <f t="shared" si="78"/>
        <v>139.59086949079176</v>
      </c>
      <c r="DK56" s="20">
        <f t="shared" si="79"/>
        <v>132.80941631209845</v>
      </c>
      <c r="DL56" s="20">
        <f t="shared" si="80"/>
        <v>126.25405078736028</v>
      </c>
      <c r="DM56" s="20">
        <f t="shared" si="81"/>
        <v>119.95243496539662</v>
      </c>
      <c r="DN56" s="20">
        <f t="shared" si="82"/>
        <v>113.93006954498313</v>
      </c>
      <c r="DO56" s="20">
        <f t="shared" si="83"/>
        <v>108.20937947005604</v>
      </c>
      <c r="DP56" s="20">
        <f t="shared" si="84"/>
        <v>102.80937628578286</v>
      </c>
      <c r="DQ56" s="20">
        <f t="shared" si="85"/>
        <v>97.745447839155474</v>
      </c>
      <c r="DR56" s="20">
        <f t="shared" si="86"/>
        <v>93.029205869556336</v>
      </c>
      <c r="DS56" s="20">
        <f t="shared" si="87"/>
        <v>88.668381157512513</v>
      </c>
      <c r="DT56" s="20">
        <f t="shared" si="88"/>
        <v>84.666764619111021</v>
      </c>
      <c r="DU56" s="20">
        <f t="shared" si="89"/>
        <v>81.02419357624575</v>
      </c>
      <c r="DV56" s="20">
        <f t="shared" si="90"/>
        <v>77.736582088648476</v>
      </c>
      <c r="DW56" s="20">
        <f t="shared" si="91"/>
        <v>74.79599376005676</v>
      </c>
      <c r="DX56" s="20">
        <f t="shared" si="92"/>
        <v>72.190754998625195</v>
      </c>
      <c r="DY56" s="20">
        <f t="shared" si="93"/>
        <v>69.905606349700463</v>
      </c>
      <c r="DZ56" s="20">
        <f t="shared" si="94"/>
        <v>67.921889231418817</v>
      </c>
      <c r="EA56" s="20">
        <f t="shared" si="95"/>
        <v>66.217765188009537</v>
      </c>
      <c r="EB56" s="20">
        <f t="shared" si="96"/>
        <v>64.768464626894911</v>
      </c>
      <c r="EC56" s="20">
        <f t="shared" si="97"/>
        <v>63.546561916138259</v>
      </c>
      <c r="ED56" s="20">
        <f t="shared" si="98"/>
        <v>62.522273679345773</v>
      </c>
      <c r="EE56" s="20">
        <f t="shared" si="99"/>
        <v>61.663777125514478</v>
      </c>
      <c r="EF56" s="20">
        <f t="shared" si="100"/>
        <v>60.937545280743464</v>
      </c>
      <c r="EG56" s="20">
        <f t="shared" si="101"/>
        <v>60.30869603642234</v>
      </c>
      <c r="EH56" s="18">
        <f t="shared" si="102"/>
        <v>59.741351984263929</v>
      </c>
    </row>
    <row r="57" spans="5:138" x14ac:dyDescent="0.3">
      <c r="E57" s="54"/>
      <c r="F57" s="22">
        <v>0.04</v>
      </c>
      <c r="G57" s="15">
        <f t="shared" si="10"/>
        <v>300</v>
      </c>
      <c r="H57" s="16">
        <f t="shared" si="11"/>
        <v>287.55731592280466</v>
      </c>
      <c r="I57" s="16">
        <f t="shared" si="12"/>
        <v>275.17898811124115</v>
      </c>
      <c r="J57" s="16">
        <f t="shared" si="13"/>
        <v>262.92862057242814</v>
      </c>
      <c r="K57" s="16">
        <f t="shared" si="14"/>
        <v>250.86832312504339</v>
      </c>
      <c r="L57" s="16">
        <f t="shared" si="15"/>
        <v>239.0579899196932</v>
      </c>
      <c r="M57" s="16">
        <f t="shared" si="16"/>
        <v>227.55460812415373</v>
      </c>
      <c r="N57" s="16">
        <f t="shared" si="17"/>
        <v>216.41160589358753</v>
      </c>
      <c r="O57" s="16">
        <f t="shared" si="18"/>
        <v>205.678247982725</v>
      </c>
      <c r="P57" s="16">
        <f t="shared" si="19"/>
        <v>195.39908644890835</v>
      </c>
      <c r="Q57" s="16">
        <f t="shared" si="20"/>
        <v>185.6134728694413</v>
      </c>
      <c r="R57" s="16">
        <f t="shared" si="21"/>
        <v>176.35513738430194</v>
      </c>
      <c r="S57" s="16">
        <f t="shared" si="22"/>
        <v>167.65183870795173</v>
      </c>
      <c r="T57" s="16">
        <f t="shared" si="23"/>
        <v>159.52508806398617</v>
      </c>
      <c r="U57" s="16">
        <f t="shared" si="24"/>
        <v>151.9899488150304</v>
      </c>
      <c r="V57" s="16">
        <f t="shared" si="25"/>
        <v>145.05491241676188</v>
      </c>
      <c r="W57" s="16">
        <f t="shared" si="26"/>
        <v>138.72185024525538</v>
      </c>
      <c r="X57" s="16">
        <f t="shared" si="27"/>
        <v>132.9860398529953</v>
      </c>
      <c r="Y57" s="16">
        <f t="shared" si="28"/>
        <v>127.83626331823524</v>
      </c>
      <c r="Z57" s="16">
        <f t="shared" si="29"/>
        <v>123.2549745771949</v>
      </c>
      <c r="AA57" s="16">
        <f t="shared" si="30"/>
        <v>119.21853197592426</v>
      </c>
      <c r="AB57" s="16">
        <f t="shared" si="31"/>
        <v>115.69749175042324</v>
      </c>
      <c r="AC57" s="16">
        <f t="shared" si="32"/>
        <v>112.65695773678327</v>
      </c>
      <c r="AD57" s="16">
        <f t="shared" si="33"/>
        <v>110.05698232030866</v>
      </c>
      <c r="AE57" s="16">
        <f t="shared" si="34"/>
        <v>107.85301344262041</v>
      </c>
      <c r="AF57" s="16">
        <f t="shared" si="35"/>
        <v>105.99638238448576</v>
      </c>
      <c r="AG57" s="16">
        <f t="shared" si="36"/>
        <v>104.43482701328519</v>
      </c>
      <c r="AH57" s="16">
        <f t="shared" si="37"/>
        <v>103.1130452101402</v>
      </c>
      <c r="AI57" s="16">
        <f t="shared" si="120"/>
        <v>101.97327325501591</v>
      </c>
      <c r="AJ57" s="16">
        <f t="shared" si="103"/>
        <v>100.95588403142658</v>
      </c>
      <c r="AK57" s="15">
        <f t="shared" si="39"/>
        <v>100</v>
      </c>
      <c r="AL57" s="52"/>
      <c r="AM57" s="13">
        <v>0.04</v>
      </c>
      <c r="AN57" s="18">
        <f t="shared" si="40"/>
        <v>-1076400000</v>
      </c>
      <c r="AO57" s="19">
        <f t="shared" si="104"/>
        <v>-1031489214.5913075</v>
      </c>
      <c r="AP57" s="19">
        <f t="shared" si="41"/>
        <v>-986812453.81394625</v>
      </c>
      <c r="AQ57" s="19">
        <f t="shared" si="42"/>
        <v>-942601000.43535924</v>
      </c>
      <c r="AR57" s="19">
        <f t="shared" si="43"/>
        <v>-899080691.41063309</v>
      </c>
      <c r="AS57" s="19">
        <f t="shared" si="44"/>
        <v>-856469288.99524283</v>
      </c>
      <c r="AT57" s="19">
        <f t="shared" si="45"/>
        <v>-814973962.55047417</v>
      </c>
      <c r="AU57" s="19">
        <f t="shared" si="46"/>
        <v>-774788914.46261895</v>
      </c>
      <c r="AV57" s="19">
        <f t="shared" si="47"/>
        <v>-736093180.76104736</v>
      </c>
      <c r="AW57" s="19">
        <f t="shared" si="48"/>
        <v>-699048633.64767575</v>
      </c>
      <c r="AX57" s="19">
        <f t="shared" si="49"/>
        <v>-663798209.34503889</v>
      </c>
      <c r="AY57" s="19">
        <f t="shared" si="50"/>
        <v>-630464380.5464884</v>
      </c>
      <c r="AZ57" s="19">
        <f t="shared" si="51"/>
        <v>-599147888.43005836</v>
      </c>
      <c r="BA57" s="19">
        <f t="shared" si="52"/>
        <v>-569926744.79824197</v>
      </c>
      <c r="BB57" s="19">
        <f t="shared" si="53"/>
        <v>-542855510.54648399</v>
      </c>
      <c r="BC57" s="19">
        <f t="shared" si="54"/>
        <v>-517964852.45254695</v>
      </c>
      <c r="BD57" s="19">
        <f t="shared" si="55"/>
        <v>-495261376.31389606</v>
      </c>
      <c r="BE57" s="19">
        <f t="shared" si="56"/>
        <v>-474727730.82249695</v>
      </c>
      <c r="BF57" s="19">
        <f t="shared" si="57"/>
        <v>-456322973.31982833</v>
      </c>
      <c r="BG57" s="19">
        <f t="shared" si="58"/>
        <v>-439983185.7643289</v>
      </c>
      <c r="BH57" s="19">
        <f t="shared" si="59"/>
        <v>-425622326.8939299</v>
      </c>
      <c r="BI57" s="19">
        <f t="shared" si="60"/>
        <v>-413133304.68341404</v>
      </c>
      <c r="BJ57" s="19">
        <f t="shared" si="61"/>
        <v>-402389251.7673139</v>
      </c>
      <c r="BK57" s="19">
        <f t="shared" si="62"/>
        <v>-393244985.49469203</v>
      </c>
      <c r="BL57" s="19">
        <f t="shared" si="63"/>
        <v>-385538633.65917021</v>
      </c>
      <c r="BM57" s="19">
        <f t="shared" si="64"/>
        <v>-379093406.65162796</v>
      </c>
      <c r="BN57" s="19">
        <f t="shared" si="65"/>
        <v>-373719496.75191718</v>
      </c>
      <c r="BO57" s="19">
        <f t="shared" si="66"/>
        <v>-369216085.44317734</v>
      </c>
      <c r="BP57" s="19">
        <f t="shared" si="67"/>
        <v>-365373439.93044245</v>
      </c>
      <c r="BQ57" s="19">
        <f t="shared" si="68"/>
        <v>-361975080.4092049</v>
      </c>
      <c r="BR57" s="18">
        <f t="shared" si="69"/>
        <v>-358800000</v>
      </c>
      <c r="BT57" s="52"/>
      <c r="BU57" s="22">
        <v>0.04</v>
      </c>
      <c r="BV57" s="18">
        <v>0</v>
      </c>
      <c r="BW57" s="20">
        <f t="shared" ref="BW57:CY57" si="122">$B$20/($B$21-$B$22*BV57)</f>
        <v>0.34883720930232553</v>
      </c>
      <c r="BX57" s="20">
        <f t="shared" si="122"/>
        <v>0.39716748768472904</v>
      </c>
      <c r="BY57" s="20">
        <f t="shared" si="122"/>
        <v>0.40494040593779607</v>
      </c>
      <c r="BZ57" s="20">
        <f t="shared" si="122"/>
        <v>0.4062190081621499</v>
      </c>
      <c r="CA57" s="20">
        <f t="shared" si="122"/>
        <v>0.40643010492156101</v>
      </c>
      <c r="CB57" s="20">
        <f t="shared" si="122"/>
        <v>0.40646497802255066</v>
      </c>
      <c r="CC57" s="20">
        <f t="shared" si="122"/>
        <v>0.40647073962099717</v>
      </c>
      <c r="CD57" s="20">
        <f t="shared" si="122"/>
        <v>0.40647169154566137</v>
      </c>
      <c r="CE57" s="20">
        <f t="shared" si="122"/>
        <v>0.40647184882198806</v>
      </c>
      <c r="CF57" s="20">
        <f t="shared" si="122"/>
        <v>0.40647187480708435</v>
      </c>
      <c r="CG57" s="20">
        <f t="shared" si="122"/>
        <v>0.40647187910032606</v>
      </c>
      <c r="CH57" s="20">
        <f t="shared" si="122"/>
        <v>0.40647187980965277</v>
      </c>
      <c r="CI57" s="20">
        <f t="shared" si="122"/>
        <v>0.4064718799268473</v>
      </c>
      <c r="CJ57" s="20">
        <f t="shared" si="122"/>
        <v>0.40647187994621015</v>
      </c>
      <c r="CK57" s="20">
        <f t="shared" si="122"/>
        <v>0.40647187994940925</v>
      </c>
      <c r="CL57" s="20">
        <f t="shared" si="122"/>
        <v>0.40647187994993778</v>
      </c>
      <c r="CM57" s="20">
        <f t="shared" si="122"/>
        <v>0.40647187995002515</v>
      </c>
      <c r="CN57" s="20">
        <f t="shared" si="122"/>
        <v>0.40647187995003953</v>
      </c>
      <c r="CO57" s="20">
        <f t="shared" si="122"/>
        <v>0.40647187995004191</v>
      </c>
      <c r="CP57" s="20">
        <f t="shared" si="122"/>
        <v>0.40647187995004236</v>
      </c>
      <c r="CQ57" s="20">
        <f t="shared" si="122"/>
        <v>0.40647187995004236</v>
      </c>
      <c r="CR57" s="20">
        <f t="shared" si="122"/>
        <v>0.40647187995004236</v>
      </c>
      <c r="CS57" s="20">
        <f t="shared" si="122"/>
        <v>0.40647187995004236</v>
      </c>
      <c r="CT57" s="20">
        <f t="shared" si="122"/>
        <v>0.40647187995004236</v>
      </c>
      <c r="CU57" s="20">
        <f t="shared" si="122"/>
        <v>0.40647187995004236</v>
      </c>
      <c r="CV57" s="20">
        <f t="shared" si="122"/>
        <v>0.40647187995004236</v>
      </c>
      <c r="CW57" s="20">
        <f t="shared" si="122"/>
        <v>0.40647187995004236</v>
      </c>
      <c r="CX57" s="20">
        <f t="shared" si="122"/>
        <v>0.40647187995004236</v>
      </c>
      <c r="CY57" s="18">
        <f t="shared" si="122"/>
        <v>0.40647187995004236</v>
      </c>
      <c r="CZ57" s="12">
        <f t="shared" si="71"/>
        <v>100</v>
      </c>
      <c r="DB57" s="52"/>
      <c r="DC57" s="22">
        <v>0.04</v>
      </c>
      <c r="DD57" s="18">
        <f t="shared" si="72"/>
        <v>300</v>
      </c>
      <c r="DE57" s="20">
        <f t="shared" si="73"/>
        <v>191.56464565144148</v>
      </c>
      <c r="DF57" s="20">
        <f t="shared" si="74"/>
        <v>170.75228843807852</v>
      </c>
      <c r="DG57" s="20">
        <f t="shared" si="75"/>
        <v>161.34189996923888</v>
      </c>
      <c r="DH57" s="20">
        <f t="shared" si="76"/>
        <v>153.75842356662841</v>
      </c>
      <c r="DI57" s="20">
        <f t="shared" si="77"/>
        <v>146.5729466644087</v>
      </c>
      <c r="DJ57" s="20">
        <f t="shared" si="78"/>
        <v>139.59086949079179</v>
      </c>
      <c r="DK57" s="20">
        <f t="shared" si="79"/>
        <v>132.80941631209845</v>
      </c>
      <c r="DL57" s="20">
        <f t="shared" si="80"/>
        <v>126.25405078736028</v>
      </c>
      <c r="DM57" s="20">
        <f t="shared" si="81"/>
        <v>119.95243496539662</v>
      </c>
      <c r="DN57" s="20">
        <f t="shared" si="82"/>
        <v>113.93006954498317</v>
      </c>
      <c r="DO57" s="20">
        <f t="shared" si="83"/>
        <v>108.20937947005604</v>
      </c>
      <c r="DP57" s="20">
        <f t="shared" si="84"/>
        <v>102.80937628578286</v>
      </c>
      <c r="DQ57" s="20">
        <f t="shared" si="85"/>
        <v>97.745447839155474</v>
      </c>
      <c r="DR57" s="20">
        <f t="shared" si="86"/>
        <v>93.02920586955635</v>
      </c>
      <c r="DS57" s="20">
        <f t="shared" si="87"/>
        <v>88.668381157512513</v>
      </c>
      <c r="DT57" s="20">
        <f t="shared" si="88"/>
        <v>84.666764619111021</v>
      </c>
      <c r="DU57" s="20">
        <f t="shared" si="89"/>
        <v>81.024193576245779</v>
      </c>
      <c r="DV57" s="20">
        <f t="shared" si="90"/>
        <v>77.73658208864849</v>
      </c>
      <c r="DW57" s="20">
        <f t="shared" si="91"/>
        <v>74.795993760056788</v>
      </c>
      <c r="DX57" s="20">
        <f t="shared" si="92"/>
        <v>72.190754998625209</v>
      </c>
      <c r="DY57" s="20">
        <f t="shared" si="93"/>
        <v>69.905606349700477</v>
      </c>
      <c r="DZ57" s="20">
        <f t="shared" si="94"/>
        <v>67.921889231418831</v>
      </c>
      <c r="EA57" s="20">
        <f t="shared" si="95"/>
        <v>66.217765188009551</v>
      </c>
      <c r="EB57" s="20">
        <f t="shared" si="96"/>
        <v>64.768464626894925</v>
      </c>
      <c r="EC57" s="20">
        <f t="shared" si="97"/>
        <v>63.546561916138259</v>
      </c>
      <c r="ED57" s="20">
        <f t="shared" si="98"/>
        <v>62.522273679345787</v>
      </c>
      <c r="EE57" s="20">
        <f t="shared" si="99"/>
        <v>61.6637771255145</v>
      </c>
      <c r="EF57" s="20">
        <f t="shared" si="100"/>
        <v>60.937545280743485</v>
      </c>
      <c r="EG57" s="20">
        <f t="shared" si="101"/>
        <v>60.30869603642234</v>
      </c>
      <c r="EH57" s="18">
        <f t="shared" si="102"/>
        <v>59.741351984263929</v>
      </c>
    </row>
    <row r="58" spans="5:138" x14ac:dyDescent="0.3">
      <c r="E58" s="54"/>
      <c r="F58" s="22">
        <v>3.6666666666666667E-2</v>
      </c>
      <c r="G58" s="15">
        <f t="shared" si="10"/>
        <v>300</v>
      </c>
      <c r="H58" s="16">
        <f t="shared" si="11"/>
        <v>287.55731592280466</v>
      </c>
      <c r="I58" s="16">
        <f t="shared" si="12"/>
        <v>275.17898811124121</v>
      </c>
      <c r="J58" s="16">
        <f t="shared" si="13"/>
        <v>262.9286205724282</v>
      </c>
      <c r="K58" s="16">
        <f t="shared" si="14"/>
        <v>250.86832312504345</v>
      </c>
      <c r="L58" s="16">
        <f t="shared" si="15"/>
        <v>239.05798991969323</v>
      </c>
      <c r="M58" s="16">
        <f t="shared" si="16"/>
        <v>227.55460812415379</v>
      </c>
      <c r="N58" s="16">
        <f t="shared" si="17"/>
        <v>216.41160589358762</v>
      </c>
      <c r="O58" s="16">
        <f t="shared" si="18"/>
        <v>205.67824798272503</v>
      </c>
      <c r="P58" s="16">
        <f t="shared" si="19"/>
        <v>195.39908644890835</v>
      </c>
      <c r="Q58" s="16">
        <f t="shared" si="20"/>
        <v>185.6134728694413</v>
      </c>
      <c r="R58" s="16">
        <f t="shared" si="21"/>
        <v>176.35513738430194</v>
      </c>
      <c r="S58" s="16">
        <f t="shared" si="22"/>
        <v>167.65183870795173</v>
      </c>
      <c r="T58" s="16">
        <f t="shared" si="23"/>
        <v>159.52508806398617</v>
      </c>
      <c r="U58" s="16">
        <f t="shared" si="24"/>
        <v>151.9899488150304</v>
      </c>
      <c r="V58" s="16">
        <f t="shared" si="25"/>
        <v>145.05491241676188</v>
      </c>
      <c r="W58" s="16">
        <f t="shared" si="26"/>
        <v>138.72185024525538</v>
      </c>
      <c r="X58" s="16">
        <f t="shared" si="27"/>
        <v>132.9860398529953</v>
      </c>
      <c r="Y58" s="16">
        <f t="shared" si="28"/>
        <v>127.83626331823524</v>
      </c>
      <c r="Z58" s="16">
        <f t="shared" si="29"/>
        <v>123.2549745771949</v>
      </c>
      <c r="AA58" s="16">
        <f t="shared" si="30"/>
        <v>119.21853197592426</v>
      </c>
      <c r="AB58" s="16">
        <f t="shared" si="31"/>
        <v>115.69749175042325</v>
      </c>
      <c r="AC58" s="16">
        <f t="shared" si="32"/>
        <v>112.65695773678327</v>
      </c>
      <c r="AD58" s="16">
        <f t="shared" si="33"/>
        <v>110.05698232030866</v>
      </c>
      <c r="AE58" s="16">
        <f t="shared" si="34"/>
        <v>107.85301344262041</v>
      </c>
      <c r="AF58" s="16">
        <f t="shared" si="35"/>
        <v>105.99638238448576</v>
      </c>
      <c r="AG58" s="16">
        <f t="shared" si="36"/>
        <v>104.43482701328519</v>
      </c>
      <c r="AH58" s="16">
        <f t="shared" si="37"/>
        <v>103.1130452101402</v>
      </c>
      <c r="AI58" s="16">
        <f t="shared" si="120"/>
        <v>101.97327325501591</v>
      </c>
      <c r="AJ58" s="16">
        <f t="shared" si="103"/>
        <v>100.95588403142658</v>
      </c>
      <c r="AK58" s="15">
        <f t="shared" si="39"/>
        <v>100</v>
      </c>
      <c r="AL58" s="52"/>
      <c r="AM58" s="13">
        <v>3.6666666666666667E-2</v>
      </c>
      <c r="AN58" s="18">
        <f t="shared" si="40"/>
        <v>-1076400000</v>
      </c>
      <c r="AO58" s="19">
        <f t="shared" si="104"/>
        <v>-1031489214.5913075</v>
      </c>
      <c r="AP58" s="19">
        <f t="shared" si="41"/>
        <v>-986812453.81394625</v>
      </c>
      <c r="AQ58" s="19">
        <f t="shared" si="42"/>
        <v>-942601000.43535936</v>
      </c>
      <c r="AR58" s="19">
        <f t="shared" si="43"/>
        <v>-899080691.41063309</v>
      </c>
      <c r="AS58" s="19">
        <f t="shared" si="44"/>
        <v>-856469288.99524283</v>
      </c>
      <c r="AT58" s="19">
        <f t="shared" si="45"/>
        <v>-814973962.55047441</v>
      </c>
      <c r="AU58" s="19">
        <f t="shared" si="46"/>
        <v>-774788914.46261919</v>
      </c>
      <c r="AV58" s="19">
        <f t="shared" si="47"/>
        <v>-736093180.76104748</v>
      </c>
      <c r="AW58" s="19">
        <f t="shared" si="48"/>
        <v>-699048633.64767575</v>
      </c>
      <c r="AX58" s="19">
        <f t="shared" si="49"/>
        <v>-663798209.34503889</v>
      </c>
      <c r="AY58" s="19">
        <f t="shared" si="50"/>
        <v>-630464380.5464884</v>
      </c>
      <c r="AZ58" s="19">
        <f t="shared" si="51"/>
        <v>-599147888.43005836</v>
      </c>
      <c r="BA58" s="19">
        <f t="shared" si="52"/>
        <v>-569926744.79824197</v>
      </c>
      <c r="BB58" s="19">
        <f t="shared" si="53"/>
        <v>-542855510.54648411</v>
      </c>
      <c r="BC58" s="19">
        <f t="shared" si="54"/>
        <v>-517964852.45254695</v>
      </c>
      <c r="BD58" s="19">
        <f t="shared" si="55"/>
        <v>-495261376.31389606</v>
      </c>
      <c r="BE58" s="19">
        <f t="shared" si="56"/>
        <v>-474727730.82249707</v>
      </c>
      <c r="BF58" s="19">
        <f t="shared" si="57"/>
        <v>-456322973.31982833</v>
      </c>
      <c r="BG58" s="19">
        <f t="shared" si="58"/>
        <v>-439983185.7643289</v>
      </c>
      <c r="BH58" s="19">
        <f t="shared" si="59"/>
        <v>-425622326.8939299</v>
      </c>
      <c r="BI58" s="19">
        <f t="shared" si="60"/>
        <v>-413133304.6834141</v>
      </c>
      <c r="BJ58" s="19">
        <f t="shared" si="61"/>
        <v>-402389251.7673139</v>
      </c>
      <c r="BK58" s="19">
        <f t="shared" si="62"/>
        <v>-393244985.49469209</v>
      </c>
      <c r="BL58" s="19">
        <f t="shared" si="63"/>
        <v>-385538633.65917027</v>
      </c>
      <c r="BM58" s="19">
        <f t="shared" si="64"/>
        <v>-379093406.65162796</v>
      </c>
      <c r="BN58" s="19">
        <f t="shared" si="65"/>
        <v>-373719496.75191724</v>
      </c>
      <c r="BO58" s="19">
        <f t="shared" si="66"/>
        <v>-369216085.4431774</v>
      </c>
      <c r="BP58" s="19">
        <f t="shared" si="67"/>
        <v>-365373439.93044245</v>
      </c>
      <c r="BQ58" s="19">
        <f t="shared" si="68"/>
        <v>-361975080.4092049</v>
      </c>
      <c r="BR58" s="18">
        <f t="shared" si="69"/>
        <v>-358800000</v>
      </c>
      <c r="BT58" s="52"/>
      <c r="BU58" s="22">
        <v>3.6666666666666667E-2</v>
      </c>
      <c r="BV58" s="18">
        <v>0</v>
      </c>
      <c r="BW58" s="20">
        <f t="shared" ref="BW58:CY58" si="123">$B$20/($B$21-$B$22*BV58)</f>
        <v>0.34883720930232553</v>
      </c>
      <c r="BX58" s="20">
        <f t="shared" si="123"/>
        <v>0.39716748768472904</v>
      </c>
      <c r="BY58" s="20">
        <f t="shared" si="123"/>
        <v>0.40494040593779607</v>
      </c>
      <c r="BZ58" s="20">
        <f t="shared" si="123"/>
        <v>0.4062190081621499</v>
      </c>
      <c r="CA58" s="20">
        <f t="shared" si="123"/>
        <v>0.40643010492156101</v>
      </c>
      <c r="CB58" s="20">
        <f t="shared" si="123"/>
        <v>0.40646497802255066</v>
      </c>
      <c r="CC58" s="20">
        <f t="shared" si="123"/>
        <v>0.40647073962099717</v>
      </c>
      <c r="CD58" s="20">
        <f t="shared" si="123"/>
        <v>0.40647169154566137</v>
      </c>
      <c r="CE58" s="20">
        <f t="shared" si="123"/>
        <v>0.40647184882198806</v>
      </c>
      <c r="CF58" s="20">
        <f t="shared" si="123"/>
        <v>0.40647187480708435</v>
      </c>
      <c r="CG58" s="20">
        <f t="shared" si="123"/>
        <v>0.40647187910032606</v>
      </c>
      <c r="CH58" s="20">
        <f t="shared" si="123"/>
        <v>0.40647187980965277</v>
      </c>
      <c r="CI58" s="20">
        <f t="shared" si="123"/>
        <v>0.4064718799268473</v>
      </c>
      <c r="CJ58" s="20">
        <f t="shared" si="123"/>
        <v>0.40647187994621015</v>
      </c>
      <c r="CK58" s="20">
        <f t="shared" si="123"/>
        <v>0.40647187994940925</v>
      </c>
      <c r="CL58" s="20">
        <f t="shared" si="123"/>
        <v>0.40647187994993778</v>
      </c>
      <c r="CM58" s="20">
        <f t="shared" si="123"/>
        <v>0.40647187995002515</v>
      </c>
      <c r="CN58" s="20">
        <f t="shared" si="123"/>
        <v>0.40647187995003953</v>
      </c>
      <c r="CO58" s="20">
        <f t="shared" si="123"/>
        <v>0.40647187995004191</v>
      </c>
      <c r="CP58" s="20">
        <f t="shared" si="123"/>
        <v>0.40647187995004236</v>
      </c>
      <c r="CQ58" s="20">
        <f t="shared" si="123"/>
        <v>0.40647187995004236</v>
      </c>
      <c r="CR58" s="20">
        <f t="shared" si="123"/>
        <v>0.40647187995004236</v>
      </c>
      <c r="CS58" s="20">
        <f t="shared" si="123"/>
        <v>0.40647187995004236</v>
      </c>
      <c r="CT58" s="20">
        <f t="shared" si="123"/>
        <v>0.40647187995004236</v>
      </c>
      <c r="CU58" s="20">
        <f t="shared" si="123"/>
        <v>0.40647187995004236</v>
      </c>
      <c r="CV58" s="20">
        <f t="shared" si="123"/>
        <v>0.40647187995004236</v>
      </c>
      <c r="CW58" s="20">
        <f t="shared" si="123"/>
        <v>0.40647187995004236</v>
      </c>
      <c r="CX58" s="20">
        <f t="shared" si="123"/>
        <v>0.40647187995004236</v>
      </c>
      <c r="CY58" s="18">
        <f t="shared" si="123"/>
        <v>0.40647187995004236</v>
      </c>
      <c r="CZ58" s="12">
        <f t="shared" si="71"/>
        <v>100</v>
      </c>
      <c r="DB58" s="52"/>
      <c r="DC58" s="22">
        <v>3.6666666666666667E-2</v>
      </c>
      <c r="DD58" s="18">
        <f t="shared" si="72"/>
        <v>300</v>
      </c>
      <c r="DE58" s="20">
        <f t="shared" si="73"/>
        <v>191.56464565144148</v>
      </c>
      <c r="DF58" s="20">
        <f t="shared" si="74"/>
        <v>170.75228843807852</v>
      </c>
      <c r="DG58" s="20">
        <f t="shared" si="75"/>
        <v>161.34189996923891</v>
      </c>
      <c r="DH58" s="20">
        <f t="shared" si="76"/>
        <v>153.75842356662844</v>
      </c>
      <c r="DI58" s="20">
        <f t="shared" si="77"/>
        <v>146.5729466644087</v>
      </c>
      <c r="DJ58" s="20">
        <f t="shared" si="78"/>
        <v>139.59086949079182</v>
      </c>
      <c r="DK58" s="20">
        <f t="shared" si="79"/>
        <v>132.80941631209851</v>
      </c>
      <c r="DL58" s="20">
        <f t="shared" si="80"/>
        <v>126.25405078736033</v>
      </c>
      <c r="DM58" s="20">
        <f t="shared" si="81"/>
        <v>119.95243496539663</v>
      </c>
      <c r="DN58" s="20">
        <f t="shared" si="82"/>
        <v>113.93006954498317</v>
      </c>
      <c r="DO58" s="20">
        <f t="shared" si="83"/>
        <v>108.20937947005604</v>
      </c>
      <c r="DP58" s="20">
        <f t="shared" si="84"/>
        <v>102.80937628578286</v>
      </c>
      <c r="DQ58" s="20">
        <f t="shared" si="85"/>
        <v>97.745447839155474</v>
      </c>
      <c r="DR58" s="20">
        <f t="shared" si="86"/>
        <v>93.02920586955635</v>
      </c>
      <c r="DS58" s="20">
        <f t="shared" si="87"/>
        <v>88.668381157512513</v>
      </c>
      <c r="DT58" s="20">
        <f t="shared" si="88"/>
        <v>84.666764619111021</v>
      </c>
      <c r="DU58" s="20">
        <f t="shared" si="89"/>
        <v>81.024193576245779</v>
      </c>
      <c r="DV58" s="20">
        <f t="shared" si="90"/>
        <v>77.73658208864849</v>
      </c>
      <c r="DW58" s="20">
        <f t="shared" si="91"/>
        <v>74.795993760056788</v>
      </c>
      <c r="DX58" s="20">
        <f t="shared" si="92"/>
        <v>72.190754998625209</v>
      </c>
      <c r="DY58" s="20">
        <f t="shared" si="93"/>
        <v>69.905606349700491</v>
      </c>
      <c r="DZ58" s="20">
        <f t="shared" si="94"/>
        <v>67.921889231418831</v>
      </c>
      <c r="EA58" s="20">
        <f t="shared" si="95"/>
        <v>66.217765188009551</v>
      </c>
      <c r="EB58" s="20">
        <f t="shared" si="96"/>
        <v>64.768464626894925</v>
      </c>
      <c r="EC58" s="20">
        <f t="shared" si="97"/>
        <v>63.546561916138259</v>
      </c>
      <c r="ED58" s="20">
        <f t="shared" si="98"/>
        <v>62.522273679345787</v>
      </c>
      <c r="EE58" s="20">
        <f t="shared" si="99"/>
        <v>61.6637771255145</v>
      </c>
      <c r="EF58" s="20">
        <f t="shared" si="100"/>
        <v>60.937545280743485</v>
      </c>
      <c r="EG58" s="20">
        <f t="shared" si="101"/>
        <v>60.30869603642234</v>
      </c>
      <c r="EH58" s="18">
        <f t="shared" si="102"/>
        <v>59.741351984263929</v>
      </c>
    </row>
    <row r="59" spans="5:138" x14ac:dyDescent="0.3">
      <c r="E59" s="54"/>
      <c r="F59" s="22">
        <v>3.3333333333333333E-2</v>
      </c>
      <c r="G59" s="15">
        <f t="shared" si="10"/>
        <v>300</v>
      </c>
      <c r="H59" s="16">
        <f t="shared" si="11"/>
        <v>287.55731592280466</v>
      </c>
      <c r="I59" s="16">
        <f t="shared" si="12"/>
        <v>275.17898811124121</v>
      </c>
      <c r="J59" s="16">
        <f t="shared" si="13"/>
        <v>262.9286205724282</v>
      </c>
      <c r="K59" s="16">
        <f t="shared" si="14"/>
        <v>250.86832312504345</v>
      </c>
      <c r="L59" s="16">
        <f t="shared" si="15"/>
        <v>239.05798991969323</v>
      </c>
      <c r="M59" s="16">
        <f t="shared" si="16"/>
        <v>227.55460812415379</v>
      </c>
      <c r="N59" s="16">
        <f t="shared" si="17"/>
        <v>216.41160589358762</v>
      </c>
      <c r="O59" s="16">
        <f t="shared" si="18"/>
        <v>205.67824798272503</v>
      </c>
      <c r="P59" s="16">
        <f t="shared" si="19"/>
        <v>195.39908644890835</v>
      </c>
      <c r="Q59" s="16">
        <f t="shared" si="20"/>
        <v>185.6134728694413</v>
      </c>
      <c r="R59" s="16">
        <f t="shared" si="21"/>
        <v>176.35513738430194</v>
      </c>
      <c r="S59" s="16">
        <f t="shared" si="22"/>
        <v>167.65183870795173</v>
      </c>
      <c r="T59" s="16">
        <f t="shared" si="23"/>
        <v>159.52508806398617</v>
      </c>
      <c r="U59" s="16">
        <f t="shared" si="24"/>
        <v>151.9899488150304</v>
      </c>
      <c r="V59" s="16">
        <f t="shared" si="25"/>
        <v>145.05491241676188</v>
      </c>
      <c r="W59" s="16">
        <f t="shared" si="26"/>
        <v>138.72185024525538</v>
      </c>
      <c r="X59" s="16">
        <f t="shared" si="27"/>
        <v>132.9860398529953</v>
      </c>
      <c r="Y59" s="16">
        <f t="shared" si="28"/>
        <v>127.83626331823524</v>
      </c>
      <c r="Z59" s="16">
        <f t="shared" si="29"/>
        <v>123.2549745771949</v>
      </c>
      <c r="AA59" s="16">
        <f t="shared" si="30"/>
        <v>119.21853197592426</v>
      </c>
      <c r="AB59" s="16">
        <f t="shared" si="31"/>
        <v>115.69749175042325</v>
      </c>
      <c r="AC59" s="16">
        <f t="shared" si="32"/>
        <v>112.65695773678327</v>
      </c>
      <c r="AD59" s="16">
        <f t="shared" si="33"/>
        <v>110.05698232030866</v>
      </c>
      <c r="AE59" s="16">
        <f t="shared" si="34"/>
        <v>107.85301344262041</v>
      </c>
      <c r="AF59" s="16">
        <f t="shared" si="35"/>
        <v>105.99638238448576</v>
      </c>
      <c r="AG59" s="16">
        <f t="shared" si="36"/>
        <v>104.43482701328519</v>
      </c>
      <c r="AH59" s="16">
        <f t="shared" si="37"/>
        <v>103.1130452101402</v>
      </c>
      <c r="AI59" s="16">
        <f t="shared" si="120"/>
        <v>101.97327325501591</v>
      </c>
      <c r="AJ59" s="16">
        <f t="shared" si="103"/>
        <v>100.95588403142658</v>
      </c>
      <c r="AK59" s="15">
        <f t="shared" si="39"/>
        <v>100</v>
      </c>
      <c r="AL59" s="52"/>
      <c r="AM59" s="13">
        <v>3.3333333333333333E-2</v>
      </c>
      <c r="AN59" s="18">
        <f t="shared" si="40"/>
        <v>-1076400000</v>
      </c>
      <c r="AO59" s="19">
        <f t="shared" si="104"/>
        <v>-1031489214.5913075</v>
      </c>
      <c r="AP59" s="19">
        <f t="shared" si="41"/>
        <v>-986812453.81394625</v>
      </c>
      <c r="AQ59" s="19">
        <f t="shared" si="42"/>
        <v>-942601000.43535936</v>
      </c>
      <c r="AR59" s="19">
        <f t="shared" si="43"/>
        <v>-899080691.41063309</v>
      </c>
      <c r="AS59" s="19">
        <f t="shared" si="44"/>
        <v>-856469288.99524283</v>
      </c>
      <c r="AT59" s="19">
        <f t="shared" si="45"/>
        <v>-814973962.55047441</v>
      </c>
      <c r="AU59" s="19">
        <f t="shared" si="46"/>
        <v>-774788914.46261919</v>
      </c>
      <c r="AV59" s="19">
        <f t="shared" si="47"/>
        <v>-736093180.76104748</v>
      </c>
      <c r="AW59" s="19">
        <f t="shared" si="48"/>
        <v>-699048633.64767575</v>
      </c>
      <c r="AX59" s="19">
        <f t="shared" si="49"/>
        <v>-663798209.34503889</v>
      </c>
      <c r="AY59" s="19">
        <f t="shared" si="50"/>
        <v>-630464380.5464884</v>
      </c>
      <c r="AZ59" s="19">
        <f t="shared" si="51"/>
        <v>-599147888.43005836</v>
      </c>
      <c r="BA59" s="19">
        <f t="shared" si="52"/>
        <v>-569926744.79824197</v>
      </c>
      <c r="BB59" s="19">
        <f t="shared" si="53"/>
        <v>-542855510.54648411</v>
      </c>
      <c r="BC59" s="19">
        <f t="shared" si="54"/>
        <v>-517964852.45254695</v>
      </c>
      <c r="BD59" s="19">
        <f t="shared" si="55"/>
        <v>-495261376.31389618</v>
      </c>
      <c r="BE59" s="19">
        <f t="shared" si="56"/>
        <v>-474727730.82249707</v>
      </c>
      <c r="BF59" s="19">
        <f t="shared" si="57"/>
        <v>-456322973.31982833</v>
      </c>
      <c r="BG59" s="19">
        <f t="shared" si="58"/>
        <v>-439983185.7643289</v>
      </c>
      <c r="BH59" s="19">
        <f t="shared" si="59"/>
        <v>-425622326.8939299</v>
      </c>
      <c r="BI59" s="19">
        <f t="shared" si="60"/>
        <v>-413133304.6834141</v>
      </c>
      <c r="BJ59" s="19">
        <f t="shared" si="61"/>
        <v>-402389251.7673139</v>
      </c>
      <c r="BK59" s="19">
        <f t="shared" si="62"/>
        <v>-393244985.49469209</v>
      </c>
      <c r="BL59" s="19">
        <f t="shared" si="63"/>
        <v>-385538633.65917027</v>
      </c>
      <c r="BM59" s="19">
        <f t="shared" si="64"/>
        <v>-379093406.65162796</v>
      </c>
      <c r="BN59" s="19">
        <f t="shared" si="65"/>
        <v>-373719496.75191724</v>
      </c>
      <c r="BO59" s="19">
        <f t="shared" si="66"/>
        <v>-369216085.4431774</v>
      </c>
      <c r="BP59" s="19">
        <f t="shared" si="67"/>
        <v>-365373439.93044245</v>
      </c>
      <c r="BQ59" s="19">
        <f t="shared" si="68"/>
        <v>-361975080.4092049</v>
      </c>
      <c r="BR59" s="18">
        <f t="shared" si="69"/>
        <v>-358800000</v>
      </c>
      <c r="BT59" s="52"/>
      <c r="BU59" s="22">
        <v>3.3333333333333333E-2</v>
      </c>
      <c r="BV59" s="18">
        <v>0</v>
      </c>
      <c r="BW59" s="20">
        <f t="shared" ref="BW59:CY59" si="124">$B$20/($B$21-$B$22*BV59)</f>
        <v>0.34883720930232553</v>
      </c>
      <c r="BX59" s="20">
        <f t="shared" si="124"/>
        <v>0.39716748768472904</v>
      </c>
      <c r="BY59" s="20">
        <f t="shared" si="124"/>
        <v>0.40494040593779607</v>
      </c>
      <c r="BZ59" s="20">
        <f t="shared" si="124"/>
        <v>0.4062190081621499</v>
      </c>
      <c r="CA59" s="20">
        <f t="shared" si="124"/>
        <v>0.40643010492156101</v>
      </c>
      <c r="CB59" s="20">
        <f t="shared" si="124"/>
        <v>0.40646497802255066</v>
      </c>
      <c r="CC59" s="20">
        <f t="shared" si="124"/>
        <v>0.40647073962099717</v>
      </c>
      <c r="CD59" s="20">
        <f t="shared" si="124"/>
        <v>0.40647169154566137</v>
      </c>
      <c r="CE59" s="20">
        <f t="shared" si="124"/>
        <v>0.40647184882198806</v>
      </c>
      <c r="CF59" s="20">
        <f t="shared" si="124"/>
        <v>0.40647187480708435</v>
      </c>
      <c r="CG59" s="20">
        <f t="shared" si="124"/>
        <v>0.40647187910032606</v>
      </c>
      <c r="CH59" s="20">
        <f t="shared" si="124"/>
        <v>0.40647187980965277</v>
      </c>
      <c r="CI59" s="20">
        <f t="shared" si="124"/>
        <v>0.4064718799268473</v>
      </c>
      <c r="CJ59" s="20">
        <f t="shared" si="124"/>
        <v>0.40647187994621015</v>
      </c>
      <c r="CK59" s="20">
        <f t="shared" si="124"/>
        <v>0.40647187994940925</v>
      </c>
      <c r="CL59" s="20">
        <f t="shared" si="124"/>
        <v>0.40647187994993778</v>
      </c>
      <c r="CM59" s="20">
        <f t="shared" si="124"/>
        <v>0.40647187995002515</v>
      </c>
      <c r="CN59" s="20">
        <f t="shared" si="124"/>
        <v>0.40647187995003953</v>
      </c>
      <c r="CO59" s="20">
        <f t="shared" si="124"/>
        <v>0.40647187995004191</v>
      </c>
      <c r="CP59" s="20">
        <f t="shared" si="124"/>
        <v>0.40647187995004236</v>
      </c>
      <c r="CQ59" s="20">
        <f t="shared" si="124"/>
        <v>0.40647187995004236</v>
      </c>
      <c r="CR59" s="20">
        <f t="shared" si="124"/>
        <v>0.40647187995004236</v>
      </c>
      <c r="CS59" s="20">
        <f t="shared" si="124"/>
        <v>0.40647187995004236</v>
      </c>
      <c r="CT59" s="20">
        <f t="shared" si="124"/>
        <v>0.40647187995004236</v>
      </c>
      <c r="CU59" s="20">
        <f t="shared" si="124"/>
        <v>0.40647187995004236</v>
      </c>
      <c r="CV59" s="20">
        <f t="shared" si="124"/>
        <v>0.40647187995004236</v>
      </c>
      <c r="CW59" s="20">
        <f t="shared" si="124"/>
        <v>0.40647187995004236</v>
      </c>
      <c r="CX59" s="20">
        <f t="shared" si="124"/>
        <v>0.40647187995004236</v>
      </c>
      <c r="CY59" s="18">
        <f t="shared" si="124"/>
        <v>0.40647187995004236</v>
      </c>
      <c r="CZ59" s="12">
        <f t="shared" si="71"/>
        <v>100</v>
      </c>
      <c r="DB59" s="52"/>
      <c r="DC59" s="22">
        <v>3.3333333333333333E-2</v>
      </c>
      <c r="DD59" s="18">
        <f t="shared" si="72"/>
        <v>300</v>
      </c>
      <c r="DE59" s="20">
        <f t="shared" si="73"/>
        <v>191.56464565144148</v>
      </c>
      <c r="DF59" s="20">
        <f t="shared" si="74"/>
        <v>170.75228843807852</v>
      </c>
      <c r="DG59" s="20">
        <f t="shared" si="75"/>
        <v>161.34189996923891</v>
      </c>
      <c r="DH59" s="20">
        <f t="shared" si="76"/>
        <v>153.75842356662844</v>
      </c>
      <c r="DI59" s="20">
        <f t="shared" si="77"/>
        <v>146.5729466644087</v>
      </c>
      <c r="DJ59" s="20">
        <f t="shared" si="78"/>
        <v>139.59086949079182</v>
      </c>
      <c r="DK59" s="20">
        <f t="shared" si="79"/>
        <v>132.80941631209851</v>
      </c>
      <c r="DL59" s="20">
        <f t="shared" si="80"/>
        <v>126.25405078736033</v>
      </c>
      <c r="DM59" s="20">
        <f t="shared" si="81"/>
        <v>119.95243496539663</v>
      </c>
      <c r="DN59" s="20">
        <f t="shared" si="82"/>
        <v>113.93006954498317</v>
      </c>
      <c r="DO59" s="20">
        <f t="shared" si="83"/>
        <v>108.20937947005604</v>
      </c>
      <c r="DP59" s="20">
        <f t="shared" si="84"/>
        <v>102.80937628578286</v>
      </c>
      <c r="DQ59" s="20">
        <f t="shared" si="85"/>
        <v>97.745447839155474</v>
      </c>
      <c r="DR59" s="20">
        <f t="shared" si="86"/>
        <v>93.02920586955635</v>
      </c>
      <c r="DS59" s="20">
        <f t="shared" si="87"/>
        <v>88.668381157512513</v>
      </c>
      <c r="DT59" s="20">
        <f t="shared" si="88"/>
        <v>84.666764619111021</v>
      </c>
      <c r="DU59" s="20">
        <f t="shared" si="89"/>
        <v>81.024193576245779</v>
      </c>
      <c r="DV59" s="20">
        <f t="shared" si="90"/>
        <v>77.73658208864849</v>
      </c>
      <c r="DW59" s="20">
        <f t="shared" si="91"/>
        <v>74.795993760056788</v>
      </c>
      <c r="DX59" s="20">
        <f t="shared" si="92"/>
        <v>72.190754998625209</v>
      </c>
      <c r="DY59" s="20">
        <f t="shared" si="93"/>
        <v>69.905606349700491</v>
      </c>
      <c r="DZ59" s="20">
        <f t="shared" si="94"/>
        <v>67.921889231418831</v>
      </c>
      <c r="EA59" s="20">
        <f t="shared" si="95"/>
        <v>66.217765188009551</v>
      </c>
      <c r="EB59" s="20">
        <f t="shared" si="96"/>
        <v>64.768464626894925</v>
      </c>
      <c r="EC59" s="20">
        <f t="shared" si="97"/>
        <v>63.546561916138259</v>
      </c>
      <c r="ED59" s="20">
        <f t="shared" si="98"/>
        <v>62.522273679345787</v>
      </c>
      <c r="EE59" s="20">
        <f t="shared" si="99"/>
        <v>61.6637771255145</v>
      </c>
      <c r="EF59" s="20">
        <f t="shared" si="100"/>
        <v>60.937545280743485</v>
      </c>
      <c r="EG59" s="20">
        <f t="shared" si="101"/>
        <v>60.30869603642234</v>
      </c>
      <c r="EH59" s="18">
        <f t="shared" si="102"/>
        <v>59.741351984263929</v>
      </c>
    </row>
    <row r="60" spans="5:138" x14ac:dyDescent="0.3">
      <c r="E60" s="54"/>
      <c r="F60" s="22">
        <v>3.0000000000000002E-2</v>
      </c>
      <c r="G60" s="15">
        <f t="shared" si="10"/>
        <v>300</v>
      </c>
      <c r="H60" s="16">
        <f t="shared" si="11"/>
        <v>287.55731592280466</v>
      </c>
      <c r="I60" s="16">
        <f t="shared" si="12"/>
        <v>275.17898811124121</v>
      </c>
      <c r="J60" s="16">
        <f t="shared" si="13"/>
        <v>262.9286205724282</v>
      </c>
      <c r="K60" s="16">
        <f t="shared" si="14"/>
        <v>250.8683231250435</v>
      </c>
      <c r="L60" s="16">
        <f t="shared" si="15"/>
        <v>239.05798991969328</v>
      </c>
      <c r="M60" s="16">
        <f t="shared" si="16"/>
        <v>227.55460812415384</v>
      </c>
      <c r="N60" s="16">
        <f t="shared" si="17"/>
        <v>216.41160589358762</v>
      </c>
      <c r="O60" s="16">
        <f t="shared" si="18"/>
        <v>205.67824798272503</v>
      </c>
      <c r="P60" s="16">
        <f t="shared" si="19"/>
        <v>195.39908644890835</v>
      </c>
      <c r="Q60" s="16">
        <f t="shared" si="20"/>
        <v>185.61347286944132</v>
      </c>
      <c r="R60" s="16">
        <f t="shared" si="21"/>
        <v>176.35513738430197</v>
      </c>
      <c r="S60" s="16">
        <f t="shared" si="22"/>
        <v>167.65183870795175</v>
      </c>
      <c r="T60" s="16">
        <f t="shared" si="23"/>
        <v>159.5250880639862</v>
      </c>
      <c r="U60" s="16">
        <f t="shared" si="24"/>
        <v>151.98994881503046</v>
      </c>
      <c r="V60" s="16">
        <f t="shared" si="25"/>
        <v>145.05491241676191</v>
      </c>
      <c r="W60" s="16">
        <f t="shared" si="26"/>
        <v>138.72185024525538</v>
      </c>
      <c r="X60" s="16">
        <f t="shared" si="27"/>
        <v>132.9860398529953</v>
      </c>
      <c r="Y60" s="16">
        <f t="shared" si="28"/>
        <v>127.83626331823524</v>
      </c>
      <c r="Z60" s="16">
        <f t="shared" si="29"/>
        <v>123.2549745771949</v>
      </c>
      <c r="AA60" s="16">
        <f t="shared" si="30"/>
        <v>119.21853197592426</v>
      </c>
      <c r="AB60" s="16">
        <f t="shared" si="31"/>
        <v>115.69749175042327</v>
      </c>
      <c r="AC60" s="16">
        <f t="shared" si="32"/>
        <v>112.65695773678328</v>
      </c>
      <c r="AD60" s="16">
        <f t="shared" si="33"/>
        <v>110.05698232030869</v>
      </c>
      <c r="AE60" s="16">
        <f t="shared" si="34"/>
        <v>107.85301344262044</v>
      </c>
      <c r="AF60" s="16">
        <f t="shared" si="35"/>
        <v>105.99638238448578</v>
      </c>
      <c r="AG60" s="16">
        <f t="shared" si="36"/>
        <v>104.4348270132852</v>
      </c>
      <c r="AH60" s="16">
        <f t="shared" si="37"/>
        <v>103.1130452101402</v>
      </c>
      <c r="AI60" s="16">
        <f t="shared" si="120"/>
        <v>101.97327325501591</v>
      </c>
      <c r="AJ60" s="16">
        <f t="shared" si="103"/>
        <v>100.95588403142658</v>
      </c>
      <c r="AK60" s="15">
        <f t="shared" si="39"/>
        <v>100</v>
      </c>
      <c r="AL60" s="52"/>
      <c r="AM60" s="13">
        <v>3.0000000000000002E-2</v>
      </c>
      <c r="AN60" s="18">
        <f t="shared" si="40"/>
        <v>-1076400000</v>
      </c>
      <c r="AO60" s="19">
        <f t="shared" si="104"/>
        <v>-1031489214.5913075</v>
      </c>
      <c r="AP60" s="19">
        <f t="shared" si="41"/>
        <v>-986812453.81394625</v>
      </c>
      <c r="AQ60" s="19">
        <f t="shared" si="42"/>
        <v>-942601000.43535936</v>
      </c>
      <c r="AR60" s="19">
        <f t="shared" si="43"/>
        <v>-899080691.41063333</v>
      </c>
      <c r="AS60" s="19">
        <f t="shared" si="44"/>
        <v>-856469288.99524283</v>
      </c>
      <c r="AT60" s="19">
        <f t="shared" si="45"/>
        <v>-814973962.55047441</v>
      </c>
      <c r="AU60" s="19">
        <f t="shared" si="46"/>
        <v>-774788914.46261919</v>
      </c>
      <c r="AV60" s="19">
        <f t="shared" si="47"/>
        <v>-736093180.76104748</v>
      </c>
      <c r="AW60" s="19">
        <f t="shared" si="48"/>
        <v>-699048633.64767587</v>
      </c>
      <c r="AX60" s="19">
        <f t="shared" si="49"/>
        <v>-663798209.34503889</v>
      </c>
      <c r="AY60" s="19">
        <f t="shared" si="50"/>
        <v>-630464380.5464884</v>
      </c>
      <c r="AZ60" s="19">
        <f t="shared" si="51"/>
        <v>-599147888.43005836</v>
      </c>
      <c r="BA60" s="19">
        <f t="shared" si="52"/>
        <v>-569926744.79824197</v>
      </c>
      <c r="BB60" s="19">
        <f t="shared" si="53"/>
        <v>-542855510.54648423</v>
      </c>
      <c r="BC60" s="19">
        <f t="shared" si="54"/>
        <v>-517964852.45254695</v>
      </c>
      <c r="BD60" s="19">
        <f t="shared" si="55"/>
        <v>-495261376.31389618</v>
      </c>
      <c r="BE60" s="19">
        <f t="shared" si="56"/>
        <v>-474727730.82249707</v>
      </c>
      <c r="BF60" s="19">
        <f t="shared" si="57"/>
        <v>-456322973.31982839</v>
      </c>
      <c r="BG60" s="19">
        <f t="shared" si="58"/>
        <v>-439983185.7643289</v>
      </c>
      <c r="BH60" s="19">
        <f t="shared" si="59"/>
        <v>-425622326.8939299</v>
      </c>
      <c r="BI60" s="19">
        <f t="shared" si="60"/>
        <v>-413133304.6834141</v>
      </c>
      <c r="BJ60" s="19">
        <f t="shared" si="61"/>
        <v>-402389251.76731396</v>
      </c>
      <c r="BK60" s="19">
        <f t="shared" si="62"/>
        <v>-393244985.49469215</v>
      </c>
      <c r="BL60" s="19">
        <f t="shared" si="63"/>
        <v>-385538633.65917033</v>
      </c>
      <c r="BM60" s="19">
        <f t="shared" si="64"/>
        <v>-379093406.65162796</v>
      </c>
      <c r="BN60" s="19">
        <f t="shared" si="65"/>
        <v>-373719496.7519173</v>
      </c>
      <c r="BO60" s="19">
        <f t="shared" si="66"/>
        <v>-369216085.4431774</v>
      </c>
      <c r="BP60" s="19">
        <f t="shared" si="67"/>
        <v>-365373439.93044245</v>
      </c>
      <c r="BQ60" s="19">
        <f t="shared" si="68"/>
        <v>-361975080.4092049</v>
      </c>
      <c r="BR60" s="18">
        <f t="shared" si="69"/>
        <v>-358800000</v>
      </c>
      <c r="BT60" s="52"/>
      <c r="BU60" s="22">
        <v>3.0000000000000002E-2</v>
      </c>
      <c r="BV60" s="18">
        <v>0</v>
      </c>
      <c r="BW60" s="20">
        <f t="shared" ref="BW60:CY60" si="125">$B$20/($B$21-$B$22*BV60)</f>
        <v>0.34883720930232553</v>
      </c>
      <c r="BX60" s="20">
        <f t="shared" si="125"/>
        <v>0.39716748768472904</v>
      </c>
      <c r="BY60" s="20">
        <f t="shared" si="125"/>
        <v>0.40494040593779607</v>
      </c>
      <c r="BZ60" s="20">
        <f t="shared" si="125"/>
        <v>0.4062190081621499</v>
      </c>
      <c r="CA60" s="20">
        <f t="shared" si="125"/>
        <v>0.40643010492156101</v>
      </c>
      <c r="CB60" s="20">
        <f t="shared" si="125"/>
        <v>0.40646497802255066</v>
      </c>
      <c r="CC60" s="20">
        <f t="shared" si="125"/>
        <v>0.40647073962099717</v>
      </c>
      <c r="CD60" s="20">
        <f t="shared" si="125"/>
        <v>0.40647169154566137</v>
      </c>
      <c r="CE60" s="20">
        <f t="shared" si="125"/>
        <v>0.40647184882198806</v>
      </c>
      <c r="CF60" s="20">
        <f t="shared" si="125"/>
        <v>0.40647187480708435</v>
      </c>
      <c r="CG60" s="20">
        <f t="shared" si="125"/>
        <v>0.40647187910032606</v>
      </c>
      <c r="CH60" s="20">
        <f t="shared" si="125"/>
        <v>0.40647187980965277</v>
      </c>
      <c r="CI60" s="20">
        <f t="shared" si="125"/>
        <v>0.4064718799268473</v>
      </c>
      <c r="CJ60" s="20">
        <f t="shared" si="125"/>
        <v>0.40647187994621015</v>
      </c>
      <c r="CK60" s="20">
        <f t="shared" si="125"/>
        <v>0.40647187994940925</v>
      </c>
      <c r="CL60" s="20">
        <f t="shared" si="125"/>
        <v>0.40647187994993778</v>
      </c>
      <c r="CM60" s="20">
        <f t="shared" si="125"/>
        <v>0.40647187995002515</v>
      </c>
      <c r="CN60" s="20">
        <f t="shared" si="125"/>
        <v>0.40647187995003953</v>
      </c>
      <c r="CO60" s="20">
        <f t="shared" si="125"/>
        <v>0.40647187995004191</v>
      </c>
      <c r="CP60" s="20">
        <f t="shared" si="125"/>
        <v>0.40647187995004236</v>
      </c>
      <c r="CQ60" s="20">
        <f t="shared" si="125"/>
        <v>0.40647187995004236</v>
      </c>
      <c r="CR60" s="20">
        <f t="shared" si="125"/>
        <v>0.40647187995004236</v>
      </c>
      <c r="CS60" s="20">
        <f t="shared" si="125"/>
        <v>0.40647187995004236</v>
      </c>
      <c r="CT60" s="20">
        <f t="shared" si="125"/>
        <v>0.40647187995004236</v>
      </c>
      <c r="CU60" s="20">
        <f t="shared" si="125"/>
        <v>0.40647187995004236</v>
      </c>
      <c r="CV60" s="20">
        <f t="shared" si="125"/>
        <v>0.40647187995004236</v>
      </c>
      <c r="CW60" s="20">
        <f t="shared" si="125"/>
        <v>0.40647187995004236</v>
      </c>
      <c r="CX60" s="20">
        <f t="shared" si="125"/>
        <v>0.40647187995004236</v>
      </c>
      <c r="CY60" s="18">
        <f t="shared" si="125"/>
        <v>0.40647187995004236</v>
      </c>
      <c r="CZ60" s="12">
        <f t="shared" si="71"/>
        <v>100</v>
      </c>
      <c r="DB60" s="52"/>
      <c r="DC60" s="22">
        <v>3.0000000000000002E-2</v>
      </c>
      <c r="DD60" s="18">
        <f t="shared" si="72"/>
        <v>300</v>
      </c>
      <c r="DE60" s="20">
        <f t="shared" si="73"/>
        <v>191.56464565144148</v>
      </c>
      <c r="DF60" s="20">
        <f t="shared" si="74"/>
        <v>170.75228843807852</v>
      </c>
      <c r="DG60" s="20">
        <f t="shared" si="75"/>
        <v>161.34189996923891</v>
      </c>
      <c r="DH60" s="20">
        <f t="shared" si="76"/>
        <v>153.75842356662847</v>
      </c>
      <c r="DI60" s="20">
        <f t="shared" si="77"/>
        <v>146.57294666440873</v>
      </c>
      <c r="DJ60" s="20">
        <f t="shared" si="78"/>
        <v>139.59086949079185</v>
      </c>
      <c r="DK60" s="20">
        <f t="shared" si="79"/>
        <v>132.80941631209851</v>
      </c>
      <c r="DL60" s="20">
        <f t="shared" si="80"/>
        <v>126.25405078736033</v>
      </c>
      <c r="DM60" s="20">
        <f t="shared" si="81"/>
        <v>119.95243496539663</v>
      </c>
      <c r="DN60" s="20">
        <f t="shared" si="82"/>
        <v>113.93006954498317</v>
      </c>
      <c r="DO60" s="20">
        <f t="shared" si="83"/>
        <v>108.20937947005604</v>
      </c>
      <c r="DP60" s="20">
        <f t="shared" si="84"/>
        <v>102.80937628578286</v>
      </c>
      <c r="DQ60" s="20">
        <f t="shared" si="85"/>
        <v>97.745447839155474</v>
      </c>
      <c r="DR60" s="20">
        <f t="shared" si="86"/>
        <v>93.029205869556378</v>
      </c>
      <c r="DS60" s="20">
        <f t="shared" si="87"/>
        <v>88.668381157512542</v>
      </c>
      <c r="DT60" s="20">
        <f t="shared" si="88"/>
        <v>84.666764619111049</v>
      </c>
      <c r="DU60" s="20">
        <f t="shared" si="89"/>
        <v>81.024193576245793</v>
      </c>
      <c r="DV60" s="20">
        <f t="shared" si="90"/>
        <v>77.73658208864849</v>
      </c>
      <c r="DW60" s="20">
        <f t="shared" si="91"/>
        <v>74.795993760056788</v>
      </c>
      <c r="DX60" s="20">
        <f t="shared" si="92"/>
        <v>72.190754998625209</v>
      </c>
      <c r="DY60" s="20">
        <f t="shared" si="93"/>
        <v>69.905606349700491</v>
      </c>
      <c r="DZ60" s="20">
        <f t="shared" si="94"/>
        <v>67.921889231418845</v>
      </c>
      <c r="EA60" s="20">
        <f t="shared" si="95"/>
        <v>66.217765188009565</v>
      </c>
      <c r="EB60" s="20">
        <f t="shared" si="96"/>
        <v>64.768464626894954</v>
      </c>
      <c r="EC60" s="20">
        <f t="shared" si="97"/>
        <v>63.54656191613828</v>
      </c>
      <c r="ED60" s="20">
        <f t="shared" si="98"/>
        <v>62.522273679345794</v>
      </c>
      <c r="EE60" s="20">
        <f t="shared" si="99"/>
        <v>61.6637771255145</v>
      </c>
      <c r="EF60" s="20">
        <f t="shared" si="100"/>
        <v>60.937545280743485</v>
      </c>
      <c r="EG60" s="20">
        <f t="shared" si="101"/>
        <v>60.30869603642234</v>
      </c>
      <c r="EH60" s="18">
        <f t="shared" si="102"/>
        <v>59.741351984263929</v>
      </c>
    </row>
    <row r="61" spans="5:138" x14ac:dyDescent="0.3">
      <c r="E61" s="54"/>
      <c r="F61" s="22">
        <v>2.6666666666666668E-2</v>
      </c>
      <c r="G61" s="15">
        <f t="shared" si="10"/>
        <v>300</v>
      </c>
      <c r="H61" s="16">
        <f t="shared" si="11"/>
        <v>287.55731592280466</v>
      </c>
      <c r="I61" s="16">
        <f t="shared" si="12"/>
        <v>275.17898811124121</v>
      </c>
      <c r="J61" s="16">
        <f t="shared" si="13"/>
        <v>262.92862057242826</v>
      </c>
      <c r="K61" s="16">
        <f t="shared" si="14"/>
        <v>250.8683231250435</v>
      </c>
      <c r="L61" s="16">
        <f t="shared" si="15"/>
        <v>239.05798991969328</v>
      </c>
      <c r="M61" s="16">
        <f t="shared" si="16"/>
        <v>227.55460812415384</v>
      </c>
      <c r="N61" s="16">
        <f t="shared" si="17"/>
        <v>216.41160589358765</v>
      </c>
      <c r="O61" s="16">
        <f t="shared" si="18"/>
        <v>205.67824798272505</v>
      </c>
      <c r="P61" s="16">
        <f t="shared" si="19"/>
        <v>195.39908644890841</v>
      </c>
      <c r="Q61" s="16">
        <f t="shared" si="20"/>
        <v>185.61347286944132</v>
      </c>
      <c r="R61" s="16">
        <f t="shared" si="21"/>
        <v>176.35513738430197</v>
      </c>
      <c r="S61" s="16">
        <f t="shared" si="22"/>
        <v>167.65183870795175</v>
      </c>
      <c r="T61" s="16">
        <f t="shared" si="23"/>
        <v>159.5250880639862</v>
      </c>
      <c r="U61" s="16">
        <f t="shared" si="24"/>
        <v>151.98994881503046</v>
      </c>
      <c r="V61" s="16">
        <f t="shared" si="25"/>
        <v>145.05491241676191</v>
      </c>
      <c r="W61" s="16">
        <f t="shared" si="26"/>
        <v>138.72185024525538</v>
      </c>
      <c r="X61" s="16">
        <f t="shared" si="27"/>
        <v>132.9860398529953</v>
      </c>
      <c r="Y61" s="16">
        <f t="shared" si="28"/>
        <v>127.83626331823524</v>
      </c>
      <c r="Z61" s="16">
        <f t="shared" si="29"/>
        <v>123.2549745771949</v>
      </c>
      <c r="AA61" s="16">
        <f t="shared" si="30"/>
        <v>119.21853197592426</v>
      </c>
      <c r="AB61" s="16">
        <f t="shared" si="31"/>
        <v>115.69749175042327</v>
      </c>
      <c r="AC61" s="16">
        <f t="shared" si="32"/>
        <v>112.65695773678328</v>
      </c>
      <c r="AD61" s="16">
        <f t="shared" si="33"/>
        <v>110.05698232030869</v>
      </c>
      <c r="AE61" s="16">
        <f t="shared" si="34"/>
        <v>107.85301344262044</v>
      </c>
      <c r="AF61" s="16">
        <f t="shared" si="35"/>
        <v>105.99638238448578</v>
      </c>
      <c r="AG61" s="16">
        <f t="shared" si="36"/>
        <v>104.4348270132852</v>
      </c>
      <c r="AH61" s="16">
        <f t="shared" si="37"/>
        <v>103.1130452101402</v>
      </c>
      <c r="AI61" s="16">
        <f t="shared" si="120"/>
        <v>101.97327325501591</v>
      </c>
      <c r="AJ61" s="16">
        <f t="shared" si="103"/>
        <v>100.95588403142659</v>
      </c>
      <c r="AK61" s="15">
        <f t="shared" si="39"/>
        <v>100</v>
      </c>
      <c r="AL61" s="52"/>
      <c r="AM61" s="13">
        <v>2.6666666666666668E-2</v>
      </c>
      <c r="AN61" s="18">
        <f t="shared" si="40"/>
        <v>-1076400000</v>
      </c>
      <c r="AO61" s="19">
        <f t="shared" si="104"/>
        <v>-1031489214.5913075</v>
      </c>
      <c r="AP61" s="19">
        <f t="shared" si="41"/>
        <v>-986812453.81394637</v>
      </c>
      <c r="AQ61" s="19">
        <f t="shared" si="42"/>
        <v>-942601000.43535936</v>
      </c>
      <c r="AR61" s="19">
        <f t="shared" si="43"/>
        <v>-899080691.41063333</v>
      </c>
      <c r="AS61" s="19">
        <f t="shared" si="44"/>
        <v>-856469288.99524295</v>
      </c>
      <c r="AT61" s="19">
        <f t="shared" si="45"/>
        <v>-814973962.55047441</v>
      </c>
      <c r="AU61" s="19">
        <f t="shared" si="46"/>
        <v>-774788914.4626193</v>
      </c>
      <c r="AV61" s="19">
        <f t="shared" si="47"/>
        <v>-736093180.7610476</v>
      </c>
      <c r="AW61" s="19">
        <f t="shared" si="48"/>
        <v>-699048633.64767599</v>
      </c>
      <c r="AX61" s="19">
        <f t="shared" si="49"/>
        <v>-663798209.34503889</v>
      </c>
      <c r="AY61" s="19">
        <f t="shared" si="50"/>
        <v>-630464380.5464884</v>
      </c>
      <c r="AZ61" s="19">
        <f t="shared" si="51"/>
        <v>-599147888.43005848</v>
      </c>
      <c r="BA61" s="19">
        <f t="shared" si="52"/>
        <v>-569926744.79824197</v>
      </c>
      <c r="BB61" s="19">
        <f t="shared" si="53"/>
        <v>-542855510.54648423</v>
      </c>
      <c r="BC61" s="19">
        <f t="shared" si="54"/>
        <v>-517964852.45254695</v>
      </c>
      <c r="BD61" s="19">
        <f t="shared" si="55"/>
        <v>-495261376.31389618</v>
      </c>
      <c r="BE61" s="19">
        <f t="shared" si="56"/>
        <v>-474727730.82249707</v>
      </c>
      <c r="BF61" s="19">
        <f t="shared" si="57"/>
        <v>-456322973.31982845</v>
      </c>
      <c r="BG61" s="19">
        <f t="shared" si="58"/>
        <v>-439983185.7643289</v>
      </c>
      <c r="BH61" s="19">
        <f t="shared" si="59"/>
        <v>-425622326.89392996</v>
      </c>
      <c r="BI61" s="19">
        <f t="shared" si="60"/>
        <v>-413133304.6834141</v>
      </c>
      <c r="BJ61" s="19">
        <f t="shared" si="61"/>
        <v>-402389251.76731396</v>
      </c>
      <c r="BK61" s="19">
        <f t="shared" si="62"/>
        <v>-393244985.49469221</v>
      </c>
      <c r="BL61" s="19">
        <f t="shared" si="63"/>
        <v>-385538633.65917033</v>
      </c>
      <c r="BM61" s="19">
        <f t="shared" si="64"/>
        <v>-379093406.65162796</v>
      </c>
      <c r="BN61" s="19">
        <f t="shared" si="65"/>
        <v>-373719496.7519173</v>
      </c>
      <c r="BO61" s="19">
        <f t="shared" si="66"/>
        <v>-369216085.44317746</v>
      </c>
      <c r="BP61" s="19">
        <f t="shared" si="67"/>
        <v>-365373439.93044245</v>
      </c>
      <c r="BQ61" s="19">
        <f t="shared" si="68"/>
        <v>-361975080.40920502</v>
      </c>
      <c r="BR61" s="18">
        <f t="shared" si="69"/>
        <v>-358800000</v>
      </c>
      <c r="BT61" s="52"/>
      <c r="BU61" s="22">
        <v>2.6666666666666668E-2</v>
      </c>
      <c r="BV61" s="18">
        <v>0</v>
      </c>
      <c r="BW61" s="20">
        <f t="shared" ref="BW61:CY61" si="126">$B$20/($B$21-$B$22*BV61)</f>
        <v>0.34883720930232553</v>
      </c>
      <c r="BX61" s="20">
        <f t="shared" si="126"/>
        <v>0.39716748768472904</v>
      </c>
      <c r="BY61" s="20">
        <f t="shared" si="126"/>
        <v>0.40494040593779607</v>
      </c>
      <c r="BZ61" s="20">
        <f t="shared" si="126"/>
        <v>0.4062190081621499</v>
      </c>
      <c r="CA61" s="20">
        <f t="shared" si="126"/>
        <v>0.40643010492156101</v>
      </c>
      <c r="CB61" s="20">
        <f t="shared" si="126"/>
        <v>0.40646497802255066</v>
      </c>
      <c r="CC61" s="20">
        <f t="shared" si="126"/>
        <v>0.40647073962099717</v>
      </c>
      <c r="CD61" s="20">
        <f t="shared" si="126"/>
        <v>0.40647169154566137</v>
      </c>
      <c r="CE61" s="20">
        <f t="shared" si="126"/>
        <v>0.40647184882198806</v>
      </c>
      <c r="CF61" s="20">
        <f t="shared" si="126"/>
        <v>0.40647187480708435</v>
      </c>
      <c r="CG61" s="20">
        <f t="shared" si="126"/>
        <v>0.40647187910032606</v>
      </c>
      <c r="CH61" s="20">
        <f t="shared" si="126"/>
        <v>0.40647187980965277</v>
      </c>
      <c r="CI61" s="20">
        <f t="shared" si="126"/>
        <v>0.4064718799268473</v>
      </c>
      <c r="CJ61" s="20">
        <f t="shared" si="126"/>
        <v>0.40647187994621015</v>
      </c>
      <c r="CK61" s="20">
        <f t="shared" si="126"/>
        <v>0.40647187994940925</v>
      </c>
      <c r="CL61" s="20">
        <f t="shared" si="126"/>
        <v>0.40647187994993778</v>
      </c>
      <c r="CM61" s="20">
        <f t="shared" si="126"/>
        <v>0.40647187995002515</v>
      </c>
      <c r="CN61" s="20">
        <f t="shared" si="126"/>
        <v>0.40647187995003953</v>
      </c>
      <c r="CO61" s="20">
        <f t="shared" si="126"/>
        <v>0.40647187995004191</v>
      </c>
      <c r="CP61" s="20">
        <f t="shared" si="126"/>
        <v>0.40647187995004236</v>
      </c>
      <c r="CQ61" s="20">
        <f t="shared" si="126"/>
        <v>0.40647187995004236</v>
      </c>
      <c r="CR61" s="20">
        <f t="shared" si="126"/>
        <v>0.40647187995004236</v>
      </c>
      <c r="CS61" s="20">
        <f t="shared" si="126"/>
        <v>0.40647187995004236</v>
      </c>
      <c r="CT61" s="20">
        <f t="shared" si="126"/>
        <v>0.40647187995004236</v>
      </c>
      <c r="CU61" s="20">
        <f t="shared" si="126"/>
        <v>0.40647187995004236</v>
      </c>
      <c r="CV61" s="20">
        <f t="shared" si="126"/>
        <v>0.40647187995004236</v>
      </c>
      <c r="CW61" s="20">
        <f t="shared" si="126"/>
        <v>0.40647187995004236</v>
      </c>
      <c r="CX61" s="20">
        <f t="shared" si="126"/>
        <v>0.40647187995004236</v>
      </c>
      <c r="CY61" s="18">
        <f t="shared" si="126"/>
        <v>0.40647187995004236</v>
      </c>
      <c r="CZ61" s="12">
        <f t="shared" si="71"/>
        <v>100</v>
      </c>
      <c r="DB61" s="52"/>
      <c r="DC61" s="22">
        <v>2.6666666666666668E-2</v>
      </c>
      <c r="DD61" s="18">
        <f t="shared" si="72"/>
        <v>300</v>
      </c>
      <c r="DE61" s="20">
        <f t="shared" si="73"/>
        <v>191.56464565144148</v>
      </c>
      <c r="DF61" s="20">
        <f t="shared" si="74"/>
        <v>170.75228843807855</v>
      </c>
      <c r="DG61" s="20">
        <f t="shared" si="75"/>
        <v>161.34189996923894</v>
      </c>
      <c r="DH61" s="20">
        <f t="shared" si="76"/>
        <v>153.75842356662847</v>
      </c>
      <c r="DI61" s="20">
        <f t="shared" si="77"/>
        <v>146.57294666440873</v>
      </c>
      <c r="DJ61" s="20">
        <f t="shared" si="78"/>
        <v>139.59086949079185</v>
      </c>
      <c r="DK61" s="20">
        <f t="shared" si="79"/>
        <v>132.80941631209851</v>
      </c>
      <c r="DL61" s="20">
        <f t="shared" si="80"/>
        <v>126.25405078736033</v>
      </c>
      <c r="DM61" s="20">
        <f t="shared" si="81"/>
        <v>119.95243496539666</v>
      </c>
      <c r="DN61" s="20">
        <f t="shared" si="82"/>
        <v>113.93006954498317</v>
      </c>
      <c r="DO61" s="20">
        <f t="shared" si="83"/>
        <v>108.20937947005604</v>
      </c>
      <c r="DP61" s="20">
        <f t="shared" si="84"/>
        <v>102.80937628578288</v>
      </c>
      <c r="DQ61" s="20">
        <f t="shared" si="85"/>
        <v>97.745447839155474</v>
      </c>
      <c r="DR61" s="20">
        <f t="shared" si="86"/>
        <v>93.029205869556378</v>
      </c>
      <c r="DS61" s="20">
        <f t="shared" si="87"/>
        <v>88.668381157512542</v>
      </c>
      <c r="DT61" s="20">
        <f t="shared" si="88"/>
        <v>84.666764619111049</v>
      </c>
      <c r="DU61" s="20">
        <f t="shared" si="89"/>
        <v>81.024193576245793</v>
      </c>
      <c r="DV61" s="20">
        <f t="shared" si="90"/>
        <v>77.736582088648504</v>
      </c>
      <c r="DW61" s="20">
        <f t="shared" si="91"/>
        <v>74.795993760056788</v>
      </c>
      <c r="DX61" s="20">
        <f t="shared" si="92"/>
        <v>72.190754998625209</v>
      </c>
      <c r="DY61" s="20">
        <f t="shared" si="93"/>
        <v>69.905606349700491</v>
      </c>
      <c r="DZ61" s="20">
        <f t="shared" si="94"/>
        <v>67.921889231418845</v>
      </c>
      <c r="EA61" s="20">
        <f t="shared" si="95"/>
        <v>66.217765188009579</v>
      </c>
      <c r="EB61" s="20">
        <f t="shared" si="96"/>
        <v>64.768464626894954</v>
      </c>
      <c r="EC61" s="20">
        <f t="shared" si="97"/>
        <v>63.54656191613828</v>
      </c>
      <c r="ED61" s="20">
        <f t="shared" si="98"/>
        <v>62.522273679345794</v>
      </c>
      <c r="EE61" s="20">
        <f t="shared" si="99"/>
        <v>61.663777125514514</v>
      </c>
      <c r="EF61" s="20">
        <f t="shared" si="100"/>
        <v>60.937545280743485</v>
      </c>
      <c r="EG61" s="20">
        <f t="shared" si="101"/>
        <v>60.308696036422354</v>
      </c>
      <c r="EH61" s="18">
        <f t="shared" si="102"/>
        <v>59.741351984263943</v>
      </c>
    </row>
    <row r="62" spans="5:138" x14ac:dyDescent="0.3">
      <c r="E62" s="54"/>
      <c r="F62" s="22">
        <v>2.3333333333333334E-2</v>
      </c>
      <c r="G62" s="15">
        <f t="shared" si="10"/>
        <v>300</v>
      </c>
      <c r="H62" s="16">
        <f t="shared" si="11"/>
        <v>287.55731592280472</v>
      </c>
      <c r="I62" s="16">
        <f t="shared" si="12"/>
        <v>275.17898811124121</v>
      </c>
      <c r="J62" s="16">
        <f t="shared" si="13"/>
        <v>262.92862057242826</v>
      </c>
      <c r="K62" s="16">
        <f t="shared" si="14"/>
        <v>250.8683231250435</v>
      </c>
      <c r="L62" s="16">
        <f t="shared" si="15"/>
        <v>239.05798991969328</v>
      </c>
      <c r="M62" s="16">
        <f t="shared" si="16"/>
        <v>227.55460812415384</v>
      </c>
      <c r="N62" s="16">
        <f t="shared" si="17"/>
        <v>216.41160589358765</v>
      </c>
      <c r="O62" s="16">
        <f t="shared" si="18"/>
        <v>205.67824798272508</v>
      </c>
      <c r="P62" s="16">
        <f t="shared" si="19"/>
        <v>195.39908644890843</v>
      </c>
      <c r="Q62" s="16">
        <f t="shared" si="20"/>
        <v>185.61347286944135</v>
      </c>
      <c r="R62" s="16">
        <f t="shared" si="21"/>
        <v>176.355137384302</v>
      </c>
      <c r="S62" s="16">
        <f t="shared" si="22"/>
        <v>167.65183870795175</v>
      </c>
      <c r="T62" s="16">
        <f t="shared" si="23"/>
        <v>159.5250880639862</v>
      </c>
      <c r="U62" s="16">
        <f t="shared" si="24"/>
        <v>151.98994881503046</v>
      </c>
      <c r="V62" s="16">
        <f t="shared" si="25"/>
        <v>145.05491241676191</v>
      </c>
      <c r="W62" s="16">
        <f t="shared" si="26"/>
        <v>138.72185024525538</v>
      </c>
      <c r="X62" s="16">
        <f t="shared" si="27"/>
        <v>132.9860398529953</v>
      </c>
      <c r="Y62" s="16">
        <f t="shared" si="28"/>
        <v>127.83626331823524</v>
      </c>
      <c r="Z62" s="16">
        <f t="shared" si="29"/>
        <v>123.2549745771949</v>
      </c>
      <c r="AA62" s="16">
        <f t="shared" si="30"/>
        <v>119.21853197592426</v>
      </c>
      <c r="AB62" s="16">
        <f t="shared" si="31"/>
        <v>115.69749175042327</v>
      </c>
      <c r="AC62" s="16">
        <f t="shared" si="32"/>
        <v>112.65695773678328</v>
      </c>
      <c r="AD62" s="16">
        <f t="shared" si="33"/>
        <v>110.05698232030869</v>
      </c>
      <c r="AE62" s="16">
        <f t="shared" si="34"/>
        <v>107.85301344262044</v>
      </c>
      <c r="AF62" s="16">
        <f t="shared" si="35"/>
        <v>105.99638238448578</v>
      </c>
      <c r="AG62" s="16">
        <f t="shared" si="36"/>
        <v>104.4348270132852</v>
      </c>
      <c r="AH62" s="16">
        <f t="shared" si="37"/>
        <v>103.1130452101402</v>
      </c>
      <c r="AI62" s="16">
        <f t="shared" si="120"/>
        <v>101.97327325501591</v>
      </c>
      <c r="AJ62" s="16">
        <f t="shared" si="103"/>
        <v>100.95588403142659</v>
      </c>
      <c r="AK62" s="15">
        <f t="shared" si="39"/>
        <v>100</v>
      </c>
      <c r="AL62" s="52"/>
      <c r="AM62" s="13">
        <v>2.3333333333333334E-2</v>
      </c>
      <c r="AN62" s="18">
        <f t="shared" si="40"/>
        <v>-1076400000</v>
      </c>
      <c r="AO62" s="19">
        <f t="shared" si="104"/>
        <v>-1031489214.5913076</v>
      </c>
      <c r="AP62" s="19">
        <f t="shared" si="41"/>
        <v>-986812453.81394637</v>
      </c>
      <c r="AQ62" s="19">
        <f t="shared" si="42"/>
        <v>-942601000.4353596</v>
      </c>
      <c r="AR62" s="19">
        <f t="shared" si="43"/>
        <v>-899080691.41063333</v>
      </c>
      <c r="AS62" s="19">
        <f t="shared" si="44"/>
        <v>-856469288.99524295</v>
      </c>
      <c r="AT62" s="19">
        <f t="shared" si="45"/>
        <v>-814973962.55047441</v>
      </c>
      <c r="AU62" s="19">
        <f t="shared" si="46"/>
        <v>-774788914.4626193</v>
      </c>
      <c r="AV62" s="19">
        <f t="shared" si="47"/>
        <v>-736093180.76104772</v>
      </c>
      <c r="AW62" s="19">
        <f t="shared" si="48"/>
        <v>-699048633.64767611</v>
      </c>
      <c r="AX62" s="19">
        <f t="shared" si="49"/>
        <v>-663798209.34503889</v>
      </c>
      <c r="AY62" s="19">
        <f t="shared" si="50"/>
        <v>-630464380.54648852</v>
      </c>
      <c r="AZ62" s="19">
        <f t="shared" si="51"/>
        <v>-599147888.43005848</v>
      </c>
      <c r="BA62" s="19">
        <f t="shared" si="52"/>
        <v>-569926744.79824197</v>
      </c>
      <c r="BB62" s="19">
        <f t="shared" si="53"/>
        <v>-542855510.54648423</v>
      </c>
      <c r="BC62" s="19">
        <f t="shared" si="54"/>
        <v>-517964852.45254695</v>
      </c>
      <c r="BD62" s="19">
        <f t="shared" si="55"/>
        <v>-495261376.3138963</v>
      </c>
      <c r="BE62" s="19">
        <f t="shared" si="56"/>
        <v>-474727730.82249707</v>
      </c>
      <c r="BF62" s="19">
        <f t="shared" si="57"/>
        <v>-456322973.31982845</v>
      </c>
      <c r="BG62" s="19">
        <f t="shared" si="58"/>
        <v>-439983185.76432896</v>
      </c>
      <c r="BH62" s="19">
        <f t="shared" si="59"/>
        <v>-425622326.89392996</v>
      </c>
      <c r="BI62" s="19">
        <f t="shared" si="60"/>
        <v>-413133304.68341416</v>
      </c>
      <c r="BJ62" s="19">
        <f t="shared" si="61"/>
        <v>-402389251.76731396</v>
      </c>
      <c r="BK62" s="19">
        <f t="shared" si="62"/>
        <v>-393244985.49469221</v>
      </c>
      <c r="BL62" s="19">
        <f t="shared" si="63"/>
        <v>-385538633.65917039</v>
      </c>
      <c r="BM62" s="19">
        <f t="shared" si="64"/>
        <v>-379093406.65162808</v>
      </c>
      <c r="BN62" s="19">
        <f t="shared" si="65"/>
        <v>-373719496.7519173</v>
      </c>
      <c r="BO62" s="19">
        <f t="shared" si="66"/>
        <v>-369216085.44317752</v>
      </c>
      <c r="BP62" s="19">
        <f t="shared" si="67"/>
        <v>-365373439.93044245</v>
      </c>
      <c r="BQ62" s="19">
        <f t="shared" si="68"/>
        <v>-361975080.40920502</v>
      </c>
      <c r="BR62" s="18">
        <f t="shared" si="69"/>
        <v>-358800000</v>
      </c>
      <c r="BT62" s="52"/>
      <c r="BU62" s="22">
        <v>2.3333333333333334E-2</v>
      </c>
      <c r="BV62" s="18">
        <v>0</v>
      </c>
      <c r="BW62" s="20">
        <f t="shared" ref="BW62:CY62" si="127">$B$20/($B$21-$B$22*BV62)</f>
        <v>0.34883720930232553</v>
      </c>
      <c r="BX62" s="20">
        <f t="shared" si="127"/>
        <v>0.39716748768472904</v>
      </c>
      <c r="BY62" s="20">
        <f t="shared" si="127"/>
        <v>0.40494040593779607</v>
      </c>
      <c r="BZ62" s="20">
        <f t="shared" si="127"/>
        <v>0.4062190081621499</v>
      </c>
      <c r="CA62" s="20">
        <f t="shared" si="127"/>
        <v>0.40643010492156101</v>
      </c>
      <c r="CB62" s="20">
        <f t="shared" si="127"/>
        <v>0.40646497802255066</v>
      </c>
      <c r="CC62" s="20">
        <f t="shared" si="127"/>
        <v>0.40647073962099717</v>
      </c>
      <c r="CD62" s="20">
        <f t="shared" si="127"/>
        <v>0.40647169154566137</v>
      </c>
      <c r="CE62" s="20">
        <f t="shared" si="127"/>
        <v>0.40647184882198806</v>
      </c>
      <c r="CF62" s="20">
        <f t="shared" si="127"/>
        <v>0.40647187480708435</v>
      </c>
      <c r="CG62" s="20">
        <f t="shared" si="127"/>
        <v>0.40647187910032606</v>
      </c>
      <c r="CH62" s="20">
        <f t="shared" si="127"/>
        <v>0.40647187980965277</v>
      </c>
      <c r="CI62" s="20">
        <f t="shared" si="127"/>
        <v>0.4064718799268473</v>
      </c>
      <c r="CJ62" s="20">
        <f t="shared" si="127"/>
        <v>0.40647187994621015</v>
      </c>
      <c r="CK62" s="20">
        <f t="shared" si="127"/>
        <v>0.40647187994940925</v>
      </c>
      <c r="CL62" s="20">
        <f t="shared" si="127"/>
        <v>0.40647187994993778</v>
      </c>
      <c r="CM62" s="20">
        <f t="shared" si="127"/>
        <v>0.40647187995002515</v>
      </c>
      <c r="CN62" s="20">
        <f t="shared" si="127"/>
        <v>0.40647187995003953</v>
      </c>
      <c r="CO62" s="20">
        <f t="shared" si="127"/>
        <v>0.40647187995004191</v>
      </c>
      <c r="CP62" s="20">
        <f t="shared" si="127"/>
        <v>0.40647187995004236</v>
      </c>
      <c r="CQ62" s="20">
        <f t="shared" si="127"/>
        <v>0.40647187995004236</v>
      </c>
      <c r="CR62" s="20">
        <f t="shared" si="127"/>
        <v>0.40647187995004236</v>
      </c>
      <c r="CS62" s="20">
        <f t="shared" si="127"/>
        <v>0.40647187995004236</v>
      </c>
      <c r="CT62" s="20">
        <f t="shared" si="127"/>
        <v>0.40647187995004236</v>
      </c>
      <c r="CU62" s="20">
        <f t="shared" si="127"/>
        <v>0.40647187995004236</v>
      </c>
      <c r="CV62" s="20">
        <f t="shared" si="127"/>
        <v>0.40647187995004236</v>
      </c>
      <c r="CW62" s="20">
        <f t="shared" si="127"/>
        <v>0.40647187995004236</v>
      </c>
      <c r="CX62" s="20">
        <f t="shared" si="127"/>
        <v>0.40647187995004236</v>
      </c>
      <c r="CY62" s="18">
        <f t="shared" si="127"/>
        <v>0.40647187995004236</v>
      </c>
      <c r="CZ62" s="12">
        <f t="shared" si="71"/>
        <v>100</v>
      </c>
      <c r="DB62" s="52"/>
      <c r="DC62" s="22">
        <v>2.3333333333333334E-2</v>
      </c>
      <c r="DD62" s="18">
        <f t="shared" si="72"/>
        <v>300</v>
      </c>
      <c r="DE62" s="20">
        <f t="shared" si="73"/>
        <v>191.56464565144151</v>
      </c>
      <c r="DF62" s="20">
        <f t="shared" si="74"/>
        <v>170.75228843807855</v>
      </c>
      <c r="DG62" s="20">
        <f t="shared" si="75"/>
        <v>161.34189996923894</v>
      </c>
      <c r="DH62" s="20">
        <f t="shared" si="76"/>
        <v>153.75842356662847</v>
      </c>
      <c r="DI62" s="20">
        <f t="shared" si="77"/>
        <v>146.57294666440873</v>
      </c>
      <c r="DJ62" s="20">
        <f t="shared" si="78"/>
        <v>139.59086949079185</v>
      </c>
      <c r="DK62" s="20">
        <f t="shared" si="79"/>
        <v>132.80941631209851</v>
      </c>
      <c r="DL62" s="20">
        <f t="shared" si="80"/>
        <v>126.25405078736036</v>
      </c>
      <c r="DM62" s="20">
        <f t="shared" si="81"/>
        <v>119.95243496539669</v>
      </c>
      <c r="DN62" s="20">
        <f t="shared" si="82"/>
        <v>113.9300695449832</v>
      </c>
      <c r="DO62" s="20">
        <f t="shared" si="83"/>
        <v>108.20937947005608</v>
      </c>
      <c r="DP62" s="20">
        <f t="shared" si="84"/>
        <v>102.80937628578289</v>
      </c>
      <c r="DQ62" s="20">
        <f t="shared" si="85"/>
        <v>97.745447839155474</v>
      </c>
      <c r="DR62" s="20">
        <f t="shared" si="86"/>
        <v>93.029205869556378</v>
      </c>
      <c r="DS62" s="20">
        <f t="shared" si="87"/>
        <v>88.668381157512542</v>
      </c>
      <c r="DT62" s="20">
        <f t="shared" si="88"/>
        <v>84.666764619111049</v>
      </c>
      <c r="DU62" s="20">
        <f t="shared" si="89"/>
        <v>81.024193576245793</v>
      </c>
      <c r="DV62" s="20">
        <f t="shared" si="90"/>
        <v>77.736582088648504</v>
      </c>
      <c r="DW62" s="20">
        <f t="shared" si="91"/>
        <v>74.795993760056788</v>
      </c>
      <c r="DX62" s="20">
        <f t="shared" si="92"/>
        <v>72.190754998625209</v>
      </c>
      <c r="DY62" s="20">
        <f t="shared" si="93"/>
        <v>69.905606349700491</v>
      </c>
      <c r="DZ62" s="20">
        <f t="shared" si="94"/>
        <v>67.921889231418845</v>
      </c>
      <c r="EA62" s="20">
        <f t="shared" si="95"/>
        <v>66.217765188009579</v>
      </c>
      <c r="EB62" s="20">
        <f t="shared" si="96"/>
        <v>64.768464626894954</v>
      </c>
      <c r="EC62" s="20">
        <f t="shared" si="97"/>
        <v>63.54656191613828</v>
      </c>
      <c r="ED62" s="20">
        <f t="shared" si="98"/>
        <v>62.522273679345794</v>
      </c>
      <c r="EE62" s="20">
        <f t="shared" si="99"/>
        <v>61.663777125514514</v>
      </c>
      <c r="EF62" s="20">
        <f t="shared" si="100"/>
        <v>60.937545280743485</v>
      </c>
      <c r="EG62" s="20">
        <f t="shared" si="101"/>
        <v>60.308696036422354</v>
      </c>
      <c r="EH62" s="18">
        <f t="shared" si="102"/>
        <v>59.741351984263943</v>
      </c>
    </row>
    <row r="63" spans="5:138" x14ac:dyDescent="0.3">
      <c r="E63" s="54"/>
      <c r="F63" s="22">
        <v>0.02</v>
      </c>
      <c r="G63" s="15">
        <f t="shared" si="10"/>
        <v>300</v>
      </c>
      <c r="H63" s="16">
        <f t="shared" si="11"/>
        <v>287.55731592280466</v>
      </c>
      <c r="I63" s="16">
        <f t="shared" si="12"/>
        <v>275.17898811124121</v>
      </c>
      <c r="J63" s="16">
        <f t="shared" si="13"/>
        <v>262.92862057242826</v>
      </c>
      <c r="K63" s="16">
        <f t="shared" si="14"/>
        <v>250.8683231250435</v>
      </c>
      <c r="L63" s="16">
        <f t="shared" si="15"/>
        <v>239.05798991969328</v>
      </c>
      <c r="M63" s="16">
        <f t="shared" si="16"/>
        <v>227.55460812415384</v>
      </c>
      <c r="N63" s="16">
        <f t="shared" si="17"/>
        <v>216.41160589358765</v>
      </c>
      <c r="O63" s="16">
        <f t="shared" si="18"/>
        <v>205.67824798272508</v>
      </c>
      <c r="P63" s="16">
        <f t="shared" si="19"/>
        <v>195.39908644890843</v>
      </c>
      <c r="Q63" s="16">
        <f t="shared" si="20"/>
        <v>185.61347286944135</v>
      </c>
      <c r="R63" s="16">
        <f t="shared" si="21"/>
        <v>176.355137384302</v>
      </c>
      <c r="S63" s="16">
        <f t="shared" si="22"/>
        <v>167.65183870795175</v>
      </c>
      <c r="T63" s="16">
        <f t="shared" si="23"/>
        <v>159.52508806398623</v>
      </c>
      <c r="U63" s="16">
        <f t="shared" si="24"/>
        <v>151.98994881503046</v>
      </c>
      <c r="V63" s="16">
        <f t="shared" si="25"/>
        <v>145.05491241676191</v>
      </c>
      <c r="W63" s="16">
        <f t="shared" si="26"/>
        <v>138.72185024525538</v>
      </c>
      <c r="X63" s="16">
        <f t="shared" si="27"/>
        <v>132.9860398529953</v>
      </c>
      <c r="Y63" s="16">
        <f t="shared" si="28"/>
        <v>127.83626331823525</v>
      </c>
      <c r="Z63" s="16">
        <f t="shared" si="29"/>
        <v>123.25497457719493</v>
      </c>
      <c r="AA63" s="16">
        <f t="shared" si="30"/>
        <v>119.21853197592426</v>
      </c>
      <c r="AB63" s="16">
        <f t="shared" si="31"/>
        <v>115.69749175042327</v>
      </c>
      <c r="AC63" s="16">
        <f t="shared" si="32"/>
        <v>112.65695773678328</v>
      </c>
      <c r="AD63" s="16">
        <f t="shared" si="33"/>
        <v>110.05698232030869</v>
      </c>
      <c r="AE63" s="16">
        <f t="shared" si="34"/>
        <v>107.85301344262044</v>
      </c>
      <c r="AF63" s="16">
        <f t="shared" si="35"/>
        <v>105.99638238448578</v>
      </c>
      <c r="AG63" s="16">
        <f t="shared" si="36"/>
        <v>104.4348270132852</v>
      </c>
      <c r="AH63" s="16">
        <f t="shared" si="37"/>
        <v>103.1130452101402</v>
      </c>
      <c r="AI63" s="16">
        <f t="shared" si="120"/>
        <v>101.97327325501591</v>
      </c>
      <c r="AJ63" s="16">
        <f t="shared" si="103"/>
        <v>100.95588403142659</v>
      </c>
      <c r="AK63" s="15">
        <f t="shared" si="39"/>
        <v>100</v>
      </c>
      <c r="AL63" s="52"/>
      <c r="AM63" s="13">
        <v>0.02</v>
      </c>
      <c r="AN63" s="18">
        <f t="shared" si="40"/>
        <v>-1076400000</v>
      </c>
      <c r="AO63" s="19">
        <f t="shared" si="104"/>
        <v>-1031489214.5913075</v>
      </c>
      <c r="AP63" s="19">
        <f t="shared" si="41"/>
        <v>-986812453.81394625</v>
      </c>
      <c r="AQ63" s="19">
        <f t="shared" si="42"/>
        <v>-942601000.4353596</v>
      </c>
      <c r="AR63" s="19">
        <f t="shared" si="43"/>
        <v>-899080691.41063333</v>
      </c>
      <c r="AS63" s="19">
        <f t="shared" si="44"/>
        <v>-856469288.99524295</v>
      </c>
      <c r="AT63" s="19">
        <f t="shared" si="45"/>
        <v>-814973962.55047441</v>
      </c>
      <c r="AU63" s="19">
        <f t="shared" si="46"/>
        <v>-774788914.4626193</v>
      </c>
      <c r="AV63" s="19">
        <f t="shared" si="47"/>
        <v>-736093180.76104772</v>
      </c>
      <c r="AW63" s="19">
        <f t="shared" si="48"/>
        <v>-699048633.64767611</v>
      </c>
      <c r="AX63" s="19">
        <f t="shared" si="49"/>
        <v>-663798209.34503889</v>
      </c>
      <c r="AY63" s="19">
        <f t="shared" si="50"/>
        <v>-630464380.54648852</v>
      </c>
      <c r="AZ63" s="19">
        <f t="shared" si="51"/>
        <v>-599147888.43005848</v>
      </c>
      <c r="BA63" s="19">
        <f t="shared" si="52"/>
        <v>-569926744.79824209</v>
      </c>
      <c r="BB63" s="19">
        <f t="shared" si="53"/>
        <v>-542855510.54648423</v>
      </c>
      <c r="BC63" s="19">
        <f t="shared" si="54"/>
        <v>-517964852.45254695</v>
      </c>
      <c r="BD63" s="19">
        <f t="shared" si="55"/>
        <v>-495261376.31389618</v>
      </c>
      <c r="BE63" s="19">
        <f t="shared" si="56"/>
        <v>-474727730.82249707</v>
      </c>
      <c r="BF63" s="19">
        <f t="shared" si="57"/>
        <v>-456322973.31982845</v>
      </c>
      <c r="BG63" s="19">
        <f t="shared" si="58"/>
        <v>-439983185.76432902</v>
      </c>
      <c r="BH63" s="19">
        <f t="shared" si="59"/>
        <v>-425622326.8939299</v>
      </c>
      <c r="BI63" s="19">
        <f t="shared" si="60"/>
        <v>-413133304.6834141</v>
      </c>
      <c r="BJ63" s="19">
        <f t="shared" si="61"/>
        <v>-402389251.76731396</v>
      </c>
      <c r="BK63" s="19">
        <f t="shared" si="62"/>
        <v>-393244985.49469221</v>
      </c>
      <c r="BL63" s="19">
        <f t="shared" si="63"/>
        <v>-385538633.65917039</v>
      </c>
      <c r="BM63" s="19">
        <f t="shared" si="64"/>
        <v>-379093406.65162808</v>
      </c>
      <c r="BN63" s="19">
        <f t="shared" si="65"/>
        <v>-373719496.7519173</v>
      </c>
      <c r="BO63" s="19">
        <f t="shared" si="66"/>
        <v>-369216085.44317752</v>
      </c>
      <c r="BP63" s="19">
        <f t="shared" si="67"/>
        <v>-365373439.93044245</v>
      </c>
      <c r="BQ63" s="19">
        <f t="shared" si="68"/>
        <v>-361975080.40920502</v>
      </c>
      <c r="BR63" s="18">
        <f t="shared" si="69"/>
        <v>-358800000</v>
      </c>
      <c r="BT63" s="52"/>
      <c r="BU63" s="22">
        <v>0.02</v>
      </c>
      <c r="BV63" s="18">
        <v>0</v>
      </c>
      <c r="BW63" s="20">
        <f t="shared" ref="BW63:CY63" si="128">$B$20/($B$21-$B$22*BV63)</f>
        <v>0.34883720930232553</v>
      </c>
      <c r="BX63" s="20">
        <f t="shared" si="128"/>
        <v>0.39716748768472904</v>
      </c>
      <c r="BY63" s="20">
        <f t="shared" si="128"/>
        <v>0.40494040593779607</v>
      </c>
      <c r="BZ63" s="20">
        <f t="shared" si="128"/>
        <v>0.4062190081621499</v>
      </c>
      <c r="CA63" s="20">
        <f t="shared" si="128"/>
        <v>0.40643010492156101</v>
      </c>
      <c r="CB63" s="20">
        <f t="shared" si="128"/>
        <v>0.40646497802255066</v>
      </c>
      <c r="CC63" s="20">
        <f t="shared" si="128"/>
        <v>0.40647073962099717</v>
      </c>
      <c r="CD63" s="20">
        <f t="shared" si="128"/>
        <v>0.40647169154566137</v>
      </c>
      <c r="CE63" s="20">
        <f t="shared" si="128"/>
        <v>0.40647184882198806</v>
      </c>
      <c r="CF63" s="20">
        <f t="shared" si="128"/>
        <v>0.40647187480708435</v>
      </c>
      <c r="CG63" s="20">
        <f t="shared" si="128"/>
        <v>0.40647187910032606</v>
      </c>
      <c r="CH63" s="20">
        <f t="shared" si="128"/>
        <v>0.40647187980965277</v>
      </c>
      <c r="CI63" s="20">
        <f t="shared" si="128"/>
        <v>0.4064718799268473</v>
      </c>
      <c r="CJ63" s="20">
        <f t="shared" si="128"/>
        <v>0.40647187994621015</v>
      </c>
      <c r="CK63" s="20">
        <f t="shared" si="128"/>
        <v>0.40647187994940925</v>
      </c>
      <c r="CL63" s="20">
        <f t="shared" si="128"/>
        <v>0.40647187994993778</v>
      </c>
      <c r="CM63" s="20">
        <f t="shared" si="128"/>
        <v>0.40647187995002515</v>
      </c>
      <c r="CN63" s="20">
        <f t="shared" si="128"/>
        <v>0.40647187995003953</v>
      </c>
      <c r="CO63" s="20">
        <f t="shared" si="128"/>
        <v>0.40647187995004191</v>
      </c>
      <c r="CP63" s="20">
        <f t="shared" si="128"/>
        <v>0.40647187995004236</v>
      </c>
      <c r="CQ63" s="20">
        <f t="shared" si="128"/>
        <v>0.40647187995004236</v>
      </c>
      <c r="CR63" s="20">
        <f t="shared" si="128"/>
        <v>0.40647187995004236</v>
      </c>
      <c r="CS63" s="20">
        <f t="shared" si="128"/>
        <v>0.40647187995004236</v>
      </c>
      <c r="CT63" s="20">
        <f t="shared" si="128"/>
        <v>0.40647187995004236</v>
      </c>
      <c r="CU63" s="20">
        <f t="shared" si="128"/>
        <v>0.40647187995004236</v>
      </c>
      <c r="CV63" s="20">
        <f t="shared" si="128"/>
        <v>0.40647187995004236</v>
      </c>
      <c r="CW63" s="20">
        <f t="shared" si="128"/>
        <v>0.40647187995004236</v>
      </c>
      <c r="CX63" s="20">
        <f t="shared" si="128"/>
        <v>0.40647187995004236</v>
      </c>
      <c r="CY63" s="18">
        <f t="shared" si="128"/>
        <v>0.40647187995004236</v>
      </c>
      <c r="CZ63" s="12">
        <f t="shared" si="71"/>
        <v>100</v>
      </c>
      <c r="DB63" s="52"/>
      <c r="DC63" s="22">
        <v>0.02</v>
      </c>
      <c r="DD63" s="18">
        <f t="shared" si="72"/>
        <v>300</v>
      </c>
      <c r="DE63" s="20">
        <f t="shared" si="73"/>
        <v>191.56464565144148</v>
      </c>
      <c r="DF63" s="20">
        <f t="shared" si="74"/>
        <v>170.75228843807852</v>
      </c>
      <c r="DG63" s="20">
        <f t="shared" si="75"/>
        <v>161.34189996923894</v>
      </c>
      <c r="DH63" s="20">
        <f t="shared" si="76"/>
        <v>153.75842356662847</v>
      </c>
      <c r="DI63" s="20">
        <f t="shared" si="77"/>
        <v>146.57294666440873</v>
      </c>
      <c r="DJ63" s="20">
        <f t="shared" si="78"/>
        <v>139.59086949079185</v>
      </c>
      <c r="DK63" s="20">
        <f t="shared" si="79"/>
        <v>132.80941631209851</v>
      </c>
      <c r="DL63" s="20">
        <f t="shared" si="80"/>
        <v>126.25405078736036</v>
      </c>
      <c r="DM63" s="20">
        <f t="shared" si="81"/>
        <v>119.95243496539669</v>
      </c>
      <c r="DN63" s="20">
        <f t="shared" si="82"/>
        <v>113.9300695449832</v>
      </c>
      <c r="DO63" s="20">
        <f t="shared" si="83"/>
        <v>108.20937947005608</v>
      </c>
      <c r="DP63" s="20">
        <f t="shared" si="84"/>
        <v>102.80937628578289</v>
      </c>
      <c r="DQ63" s="20">
        <f t="shared" si="85"/>
        <v>97.745447839155489</v>
      </c>
      <c r="DR63" s="20">
        <f t="shared" si="86"/>
        <v>93.029205869556378</v>
      </c>
      <c r="DS63" s="20">
        <f t="shared" si="87"/>
        <v>88.668381157512542</v>
      </c>
      <c r="DT63" s="20">
        <f t="shared" si="88"/>
        <v>84.666764619111049</v>
      </c>
      <c r="DU63" s="20">
        <f t="shared" si="89"/>
        <v>81.024193576245793</v>
      </c>
      <c r="DV63" s="20">
        <f t="shared" si="90"/>
        <v>77.736582088648504</v>
      </c>
      <c r="DW63" s="20">
        <f t="shared" si="91"/>
        <v>74.795993760056803</v>
      </c>
      <c r="DX63" s="20">
        <f t="shared" si="92"/>
        <v>72.190754998625209</v>
      </c>
      <c r="DY63" s="20">
        <f t="shared" si="93"/>
        <v>69.905606349700491</v>
      </c>
      <c r="DZ63" s="20">
        <f t="shared" si="94"/>
        <v>67.921889231418845</v>
      </c>
      <c r="EA63" s="20">
        <f t="shared" si="95"/>
        <v>66.217765188009579</v>
      </c>
      <c r="EB63" s="20">
        <f t="shared" si="96"/>
        <v>64.768464626894954</v>
      </c>
      <c r="EC63" s="20">
        <f t="shared" si="97"/>
        <v>63.54656191613828</v>
      </c>
      <c r="ED63" s="20">
        <f t="shared" si="98"/>
        <v>62.522273679345794</v>
      </c>
      <c r="EE63" s="20">
        <f t="shared" si="99"/>
        <v>61.663777125514514</v>
      </c>
      <c r="EF63" s="20">
        <f t="shared" si="100"/>
        <v>60.937545280743485</v>
      </c>
      <c r="EG63" s="20">
        <f t="shared" si="101"/>
        <v>60.308696036422354</v>
      </c>
      <c r="EH63" s="18">
        <f t="shared" si="102"/>
        <v>59.741351984263943</v>
      </c>
    </row>
    <row r="64" spans="5:138" x14ac:dyDescent="0.3">
      <c r="E64" s="54"/>
      <c r="F64" s="22">
        <v>1.6666666666666666E-2</v>
      </c>
      <c r="G64" s="15">
        <f t="shared" si="10"/>
        <v>300</v>
      </c>
      <c r="H64" s="16">
        <f t="shared" si="11"/>
        <v>287.55731592280466</v>
      </c>
      <c r="I64" s="16">
        <f t="shared" si="12"/>
        <v>275.17898811124115</v>
      </c>
      <c r="J64" s="16">
        <f t="shared" si="13"/>
        <v>262.92862057242814</v>
      </c>
      <c r="K64" s="16">
        <f t="shared" si="14"/>
        <v>250.86832312504345</v>
      </c>
      <c r="L64" s="16">
        <f t="shared" si="15"/>
        <v>239.05798991969323</v>
      </c>
      <c r="M64" s="16">
        <f t="shared" si="16"/>
        <v>227.55460812415382</v>
      </c>
      <c r="N64" s="16">
        <f t="shared" si="17"/>
        <v>216.41160589358765</v>
      </c>
      <c r="O64" s="16">
        <f t="shared" si="18"/>
        <v>205.67824798272505</v>
      </c>
      <c r="P64" s="16">
        <f t="shared" si="19"/>
        <v>195.39908644890841</v>
      </c>
      <c r="Q64" s="16">
        <f t="shared" si="20"/>
        <v>185.61347286944135</v>
      </c>
      <c r="R64" s="16">
        <f t="shared" si="21"/>
        <v>176.355137384302</v>
      </c>
      <c r="S64" s="16">
        <f t="shared" si="22"/>
        <v>167.65183870795175</v>
      </c>
      <c r="T64" s="16">
        <f t="shared" si="23"/>
        <v>159.52508806398623</v>
      </c>
      <c r="U64" s="16">
        <f t="shared" si="24"/>
        <v>151.98994881503046</v>
      </c>
      <c r="V64" s="16">
        <f t="shared" si="25"/>
        <v>145.05491241676191</v>
      </c>
      <c r="W64" s="16">
        <f t="shared" si="26"/>
        <v>138.72185024525538</v>
      </c>
      <c r="X64" s="16">
        <f t="shared" si="27"/>
        <v>132.9860398529953</v>
      </c>
      <c r="Y64" s="16">
        <f t="shared" si="28"/>
        <v>127.83626331823524</v>
      </c>
      <c r="Z64" s="16">
        <f t="shared" si="29"/>
        <v>123.2549745771949</v>
      </c>
      <c r="AA64" s="16">
        <f t="shared" si="30"/>
        <v>119.21853197592426</v>
      </c>
      <c r="AB64" s="16">
        <f t="shared" si="31"/>
        <v>115.69749175042327</v>
      </c>
      <c r="AC64" s="16">
        <f t="shared" si="32"/>
        <v>112.65695773678328</v>
      </c>
      <c r="AD64" s="16">
        <f t="shared" si="33"/>
        <v>110.05698232030869</v>
      </c>
      <c r="AE64" s="16">
        <f t="shared" si="34"/>
        <v>107.85301344262044</v>
      </c>
      <c r="AF64" s="16">
        <f t="shared" si="35"/>
        <v>105.99638238448578</v>
      </c>
      <c r="AG64" s="16">
        <f t="shared" si="36"/>
        <v>104.4348270132852</v>
      </c>
      <c r="AH64" s="16">
        <f t="shared" si="37"/>
        <v>103.1130452101402</v>
      </c>
      <c r="AI64" s="16">
        <f t="shared" si="120"/>
        <v>101.97327325501591</v>
      </c>
      <c r="AJ64" s="16">
        <f t="shared" si="103"/>
        <v>100.95588403142659</v>
      </c>
      <c r="AK64" s="15">
        <f t="shared" si="39"/>
        <v>100</v>
      </c>
      <c r="AL64" s="52"/>
      <c r="AM64" s="13">
        <v>1.6666666666666666E-2</v>
      </c>
      <c r="AN64" s="18">
        <f t="shared" si="40"/>
        <v>-1076400000</v>
      </c>
      <c r="AO64" s="19">
        <f t="shared" si="104"/>
        <v>-1031489214.5913075</v>
      </c>
      <c r="AP64" s="19">
        <f t="shared" si="41"/>
        <v>-986812453.81394601</v>
      </c>
      <c r="AQ64" s="19">
        <f t="shared" si="42"/>
        <v>-942601000.43535936</v>
      </c>
      <c r="AR64" s="19">
        <f t="shared" si="43"/>
        <v>-899080691.41063321</v>
      </c>
      <c r="AS64" s="19">
        <f t="shared" si="44"/>
        <v>-856469288.99524283</v>
      </c>
      <c r="AT64" s="19">
        <f t="shared" si="45"/>
        <v>-814973962.55047441</v>
      </c>
      <c r="AU64" s="19">
        <f t="shared" si="46"/>
        <v>-774788914.4626193</v>
      </c>
      <c r="AV64" s="19">
        <f t="shared" si="47"/>
        <v>-736093180.7610476</v>
      </c>
      <c r="AW64" s="19">
        <f t="shared" si="48"/>
        <v>-699048633.64767611</v>
      </c>
      <c r="AX64" s="19">
        <f t="shared" si="49"/>
        <v>-663798209.34503889</v>
      </c>
      <c r="AY64" s="19">
        <f t="shared" si="50"/>
        <v>-630464380.54648852</v>
      </c>
      <c r="AZ64" s="19">
        <f t="shared" si="51"/>
        <v>-599147888.43005848</v>
      </c>
      <c r="BA64" s="19">
        <f t="shared" si="52"/>
        <v>-569926744.79824209</v>
      </c>
      <c r="BB64" s="19">
        <f t="shared" si="53"/>
        <v>-542855510.54648423</v>
      </c>
      <c r="BC64" s="19">
        <f t="shared" si="54"/>
        <v>-517964852.45254695</v>
      </c>
      <c r="BD64" s="19">
        <f t="shared" si="55"/>
        <v>-495261376.31389618</v>
      </c>
      <c r="BE64" s="19">
        <f t="shared" si="56"/>
        <v>-474727730.82249707</v>
      </c>
      <c r="BF64" s="19">
        <f t="shared" si="57"/>
        <v>-456322973.31982845</v>
      </c>
      <c r="BG64" s="19">
        <f t="shared" si="58"/>
        <v>-439983185.76432896</v>
      </c>
      <c r="BH64" s="19">
        <f t="shared" si="59"/>
        <v>-425622326.8939299</v>
      </c>
      <c r="BI64" s="19">
        <f t="shared" si="60"/>
        <v>-413133304.6834141</v>
      </c>
      <c r="BJ64" s="19">
        <f t="shared" si="61"/>
        <v>-402389251.76731396</v>
      </c>
      <c r="BK64" s="19">
        <f t="shared" si="62"/>
        <v>-393244985.49469221</v>
      </c>
      <c r="BL64" s="19">
        <f t="shared" si="63"/>
        <v>-385538633.65917039</v>
      </c>
      <c r="BM64" s="19">
        <f t="shared" si="64"/>
        <v>-379093406.65162802</v>
      </c>
      <c r="BN64" s="19">
        <f t="shared" si="65"/>
        <v>-373719496.7519173</v>
      </c>
      <c r="BO64" s="19">
        <f t="shared" si="66"/>
        <v>-369216085.44317752</v>
      </c>
      <c r="BP64" s="19">
        <f t="shared" si="67"/>
        <v>-365373439.93044245</v>
      </c>
      <c r="BQ64" s="19">
        <f t="shared" si="68"/>
        <v>-361975080.40920502</v>
      </c>
      <c r="BR64" s="18">
        <f t="shared" si="69"/>
        <v>-358800000</v>
      </c>
      <c r="BT64" s="52"/>
      <c r="BU64" s="22">
        <v>1.6666666666666666E-2</v>
      </c>
      <c r="BV64" s="18">
        <v>0</v>
      </c>
      <c r="BW64" s="20">
        <f t="shared" ref="BW64:CY64" si="129">$B$20/($B$21-$B$22*BV64)</f>
        <v>0.34883720930232553</v>
      </c>
      <c r="BX64" s="20">
        <f t="shared" si="129"/>
        <v>0.39716748768472904</v>
      </c>
      <c r="BY64" s="20">
        <f t="shared" si="129"/>
        <v>0.40494040593779607</v>
      </c>
      <c r="BZ64" s="20">
        <f t="shared" si="129"/>
        <v>0.4062190081621499</v>
      </c>
      <c r="CA64" s="20">
        <f t="shared" si="129"/>
        <v>0.40643010492156101</v>
      </c>
      <c r="CB64" s="20">
        <f t="shared" si="129"/>
        <v>0.40646497802255066</v>
      </c>
      <c r="CC64" s="20">
        <f t="shared" si="129"/>
        <v>0.40647073962099717</v>
      </c>
      <c r="CD64" s="20">
        <f t="shared" si="129"/>
        <v>0.40647169154566137</v>
      </c>
      <c r="CE64" s="20">
        <f t="shared" si="129"/>
        <v>0.40647184882198806</v>
      </c>
      <c r="CF64" s="20">
        <f t="shared" si="129"/>
        <v>0.40647187480708435</v>
      </c>
      <c r="CG64" s="20">
        <f t="shared" si="129"/>
        <v>0.40647187910032606</v>
      </c>
      <c r="CH64" s="20">
        <f t="shared" si="129"/>
        <v>0.40647187980965277</v>
      </c>
      <c r="CI64" s="20">
        <f t="shared" si="129"/>
        <v>0.4064718799268473</v>
      </c>
      <c r="CJ64" s="20">
        <f t="shared" si="129"/>
        <v>0.40647187994621015</v>
      </c>
      <c r="CK64" s="20">
        <f t="shared" si="129"/>
        <v>0.40647187994940925</v>
      </c>
      <c r="CL64" s="20">
        <f t="shared" si="129"/>
        <v>0.40647187994993778</v>
      </c>
      <c r="CM64" s="20">
        <f t="shared" si="129"/>
        <v>0.40647187995002515</v>
      </c>
      <c r="CN64" s="20">
        <f t="shared" si="129"/>
        <v>0.40647187995003953</v>
      </c>
      <c r="CO64" s="20">
        <f t="shared" si="129"/>
        <v>0.40647187995004191</v>
      </c>
      <c r="CP64" s="20">
        <f t="shared" si="129"/>
        <v>0.40647187995004236</v>
      </c>
      <c r="CQ64" s="20">
        <f t="shared" si="129"/>
        <v>0.40647187995004236</v>
      </c>
      <c r="CR64" s="20">
        <f t="shared" si="129"/>
        <v>0.40647187995004236</v>
      </c>
      <c r="CS64" s="20">
        <f t="shared" si="129"/>
        <v>0.40647187995004236</v>
      </c>
      <c r="CT64" s="20">
        <f t="shared" si="129"/>
        <v>0.40647187995004236</v>
      </c>
      <c r="CU64" s="20">
        <f t="shared" si="129"/>
        <v>0.40647187995004236</v>
      </c>
      <c r="CV64" s="20">
        <f t="shared" si="129"/>
        <v>0.40647187995004236</v>
      </c>
      <c r="CW64" s="20">
        <f t="shared" si="129"/>
        <v>0.40647187995004236</v>
      </c>
      <c r="CX64" s="20">
        <f t="shared" si="129"/>
        <v>0.40647187995004236</v>
      </c>
      <c r="CY64" s="18">
        <f t="shared" si="129"/>
        <v>0.40647187995004236</v>
      </c>
      <c r="CZ64" s="12">
        <f t="shared" si="71"/>
        <v>100</v>
      </c>
      <c r="DB64" s="52"/>
      <c r="DC64" s="22">
        <v>1.6666666666666666E-2</v>
      </c>
      <c r="DD64" s="18">
        <f t="shared" si="72"/>
        <v>300</v>
      </c>
      <c r="DE64" s="20">
        <f t="shared" si="73"/>
        <v>191.56464565144148</v>
      </c>
      <c r="DF64" s="20">
        <f t="shared" si="74"/>
        <v>170.75228843807849</v>
      </c>
      <c r="DG64" s="20">
        <f t="shared" si="75"/>
        <v>161.34189996923888</v>
      </c>
      <c r="DH64" s="20">
        <f t="shared" si="76"/>
        <v>153.75842356662844</v>
      </c>
      <c r="DI64" s="20">
        <f t="shared" si="77"/>
        <v>146.5729466644087</v>
      </c>
      <c r="DJ64" s="20">
        <f t="shared" si="78"/>
        <v>139.59086949079182</v>
      </c>
      <c r="DK64" s="20">
        <f t="shared" si="79"/>
        <v>132.80941631209851</v>
      </c>
      <c r="DL64" s="20">
        <f t="shared" si="80"/>
        <v>126.25405078736033</v>
      </c>
      <c r="DM64" s="20">
        <f t="shared" si="81"/>
        <v>119.95243496539666</v>
      </c>
      <c r="DN64" s="20">
        <f t="shared" si="82"/>
        <v>113.93006954498317</v>
      </c>
      <c r="DO64" s="20">
        <f t="shared" si="83"/>
        <v>108.20937947005605</v>
      </c>
      <c r="DP64" s="20">
        <f t="shared" si="84"/>
        <v>102.80937628578289</v>
      </c>
      <c r="DQ64" s="20">
        <f t="shared" si="85"/>
        <v>97.745447839155489</v>
      </c>
      <c r="DR64" s="20">
        <f t="shared" si="86"/>
        <v>93.029205869556378</v>
      </c>
      <c r="DS64" s="20">
        <f t="shared" si="87"/>
        <v>88.668381157512542</v>
      </c>
      <c r="DT64" s="20">
        <f t="shared" si="88"/>
        <v>84.666764619111049</v>
      </c>
      <c r="DU64" s="20">
        <f t="shared" si="89"/>
        <v>81.024193576245793</v>
      </c>
      <c r="DV64" s="20">
        <f t="shared" si="90"/>
        <v>77.736582088648504</v>
      </c>
      <c r="DW64" s="20">
        <f t="shared" si="91"/>
        <v>74.795993760056788</v>
      </c>
      <c r="DX64" s="20">
        <f t="shared" si="92"/>
        <v>72.190754998625209</v>
      </c>
      <c r="DY64" s="20">
        <f t="shared" si="93"/>
        <v>69.905606349700491</v>
      </c>
      <c r="DZ64" s="20">
        <f t="shared" si="94"/>
        <v>67.921889231418845</v>
      </c>
      <c r="EA64" s="20">
        <f t="shared" si="95"/>
        <v>66.217765188009579</v>
      </c>
      <c r="EB64" s="20">
        <f t="shared" si="96"/>
        <v>64.768464626894954</v>
      </c>
      <c r="EC64" s="20">
        <f t="shared" si="97"/>
        <v>63.54656191613828</v>
      </c>
      <c r="ED64" s="20">
        <f t="shared" si="98"/>
        <v>62.522273679345794</v>
      </c>
      <c r="EE64" s="20">
        <f t="shared" si="99"/>
        <v>61.663777125514514</v>
      </c>
      <c r="EF64" s="20">
        <f t="shared" si="100"/>
        <v>60.937545280743485</v>
      </c>
      <c r="EG64" s="20">
        <f t="shared" si="101"/>
        <v>60.308696036422354</v>
      </c>
      <c r="EH64" s="18">
        <f t="shared" si="102"/>
        <v>59.741351984263943</v>
      </c>
    </row>
    <row r="65" spans="5:138" x14ac:dyDescent="0.3">
      <c r="E65" s="54"/>
      <c r="F65" s="22">
        <v>1.3333333333333334E-2</v>
      </c>
      <c r="G65" s="15">
        <f t="shared" si="10"/>
        <v>300</v>
      </c>
      <c r="H65" s="16">
        <f t="shared" si="11"/>
        <v>287.55731592280466</v>
      </c>
      <c r="I65" s="16">
        <f t="shared" si="12"/>
        <v>275.17898811124115</v>
      </c>
      <c r="J65" s="16">
        <f t="shared" si="13"/>
        <v>262.92862057242814</v>
      </c>
      <c r="K65" s="16">
        <f t="shared" si="14"/>
        <v>250.86832312504342</v>
      </c>
      <c r="L65" s="16">
        <f t="shared" si="15"/>
        <v>239.05798991969323</v>
      </c>
      <c r="M65" s="16">
        <f t="shared" si="16"/>
        <v>227.55460812415379</v>
      </c>
      <c r="N65" s="16">
        <f t="shared" si="17"/>
        <v>216.41160589358765</v>
      </c>
      <c r="O65" s="16">
        <f t="shared" si="18"/>
        <v>205.67824798272505</v>
      </c>
      <c r="P65" s="16">
        <f t="shared" si="19"/>
        <v>195.39908644890841</v>
      </c>
      <c r="Q65" s="16">
        <f t="shared" si="20"/>
        <v>185.61347286944132</v>
      </c>
      <c r="R65" s="16">
        <f t="shared" si="21"/>
        <v>176.35513738430197</v>
      </c>
      <c r="S65" s="16">
        <f t="shared" si="22"/>
        <v>167.65183870795175</v>
      </c>
      <c r="T65" s="16">
        <f t="shared" si="23"/>
        <v>159.5250880639862</v>
      </c>
      <c r="U65" s="16">
        <f t="shared" si="24"/>
        <v>151.98994881503046</v>
      </c>
      <c r="V65" s="16">
        <f t="shared" si="25"/>
        <v>145.05491241676191</v>
      </c>
      <c r="W65" s="16">
        <f t="shared" si="26"/>
        <v>138.72185024525538</v>
      </c>
      <c r="X65" s="16">
        <f t="shared" si="27"/>
        <v>132.9860398529953</v>
      </c>
      <c r="Y65" s="16">
        <f t="shared" si="28"/>
        <v>127.83626331823524</v>
      </c>
      <c r="Z65" s="16">
        <f t="shared" si="29"/>
        <v>123.2549745771949</v>
      </c>
      <c r="AA65" s="16">
        <f t="shared" si="30"/>
        <v>119.21853197592424</v>
      </c>
      <c r="AB65" s="16">
        <f t="shared" si="31"/>
        <v>115.69749175042324</v>
      </c>
      <c r="AC65" s="16">
        <f t="shared" si="32"/>
        <v>112.65695773678327</v>
      </c>
      <c r="AD65" s="16">
        <f t="shared" si="33"/>
        <v>110.05698232030866</v>
      </c>
      <c r="AE65" s="16">
        <f t="shared" si="34"/>
        <v>107.85301344262042</v>
      </c>
      <c r="AF65" s="16">
        <f t="shared" si="35"/>
        <v>105.99638238448577</v>
      </c>
      <c r="AG65" s="16">
        <f t="shared" si="36"/>
        <v>104.4348270132852</v>
      </c>
      <c r="AH65" s="16">
        <f t="shared" si="37"/>
        <v>103.1130452101402</v>
      </c>
      <c r="AI65" s="16">
        <f t="shared" si="120"/>
        <v>101.97327325501591</v>
      </c>
      <c r="AJ65" s="16">
        <f t="shared" si="103"/>
        <v>100.95588403142659</v>
      </c>
      <c r="AK65" s="15">
        <f t="shared" si="39"/>
        <v>100</v>
      </c>
      <c r="AL65" s="52"/>
      <c r="AM65" s="13">
        <v>1.3333333333333334E-2</v>
      </c>
      <c r="AN65" s="18">
        <f t="shared" si="40"/>
        <v>-1076400000</v>
      </c>
      <c r="AO65" s="19">
        <f t="shared" si="104"/>
        <v>-1031489214.5913075</v>
      </c>
      <c r="AP65" s="19">
        <f t="shared" si="41"/>
        <v>-986812453.81394601</v>
      </c>
      <c r="AQ65" s="19">
        <f t="shared" si="42"/>
        <v>-942601000.43535936</v>
      </c>
      <c r="AR65" s="19">
        <f t="shared" si="43"/>
        <v>-899080691.41063309</v>
      </c>
      <c r="AS65" s="19">
        <f t="shared" si="44"/>
        <v>-856469288.99524283</v>
      </c>
      <c r="AT65" s="19">
        <f t="shared" si="45"/>
        <v>-814973962.55047429</v>
      </c>
      <c r="AU65" s="19">
        <f t="shared" si="46"/>
        <v>-774788914.46261919</v>
      </c>
      <c r="AV65" s="19">
        <f t="shared" si="47"/>
        <v>-736093180.76104748</v>
      </c>
      <c r="AW65" s="19">
        <f t="shared" si="48"/>
        <v>-699048633.64767599</v>
      </c>
      <c r="AX65" s="19">
        <f t="shared" si="49"/>
        <v>-663798209.34503889</v>
      </c>
      <c r="AY65" s="19">
        <f t="shared" si="50"/>
        <v>-630464380.5464884</v>
      </c>
      <c r="AZ65" s="19">
        <f t="shared" si="51"/>
        <v>-599147888.43005836</v>
      </c>
      <c r="BA65" s="19">
        <f t="shared" si="52"/>
        <v>-569926744.79824209</v>
      </c>
      <c r="BB65" s="19">
        <f t="shared" si="53"/>
        <v>-542855510.54648423</v>
      </c>
      <c r="BC65" s="19">
        <f t="shared" si="54"/>
        <v>-517964852.45254695</v>
      </c>
      <c r="BD65" s="19">
        <f t="shared" si="55"/>
        <v>-495261376.31389618</v>
      </c>
      <c r="BE65" s="19">
        <f t="shared" si="56"/>
        <v>-474727730.82249695</v>
      </c>
      <c r="BF65" s="19">
        <f t="shared" si="57"/>
        <v>-456322973.31982845</v>
      </c>
      <c r="BG65" s="19">
        <f t="shared" si="58"/>
        <v>-439983185.7643289</v>
      </c>
      <c r="BH65" s="19">
        <f t="shared" si="59"/>
        <v>-425622326.89392984</v>
      </c>
      <c r="BI65" s="19">
        <f t="shared" si="60"/>
        <v>-413133304.6834141</v>
      </c>
      <c r="BJ65" s="19">
        <f t="shared" si="61"/>
        <v>-402389251.76731396</v>
      </c>
      <c r="BK65" s="19">
        <f t="shared" si="62"/>
        <v>-393244985.49469209</v>
      </c>
      <c r="BL65" s="19">
        <f t="shared" si="63"/>
        <v>-385538633.65917033</v>
      </c>
      <c r="BM65" s="19">
        <f t="shared" si="64"/>
        <v>-379093406.65162796</v>
      </c>
      <c r="BN65" s="19">
        <f t="shared" si="65"/>
        <v>-373719496.75191724</v>
      </c>
      <c r="BO65" s="19">
        <f t="shared" si="66"/>
        <v>-369216085.44317746</v>
      </c>
      <c r="BP65" s="19">
        <f t="shared" si="67"/>
        <v>-365373439.93044245</v>
      </c>
      <c r="BQ65" s="19">
        <f t="shared" si="68"/>
        <v>-361975080.40920502</v>
      </c>
      <c r="BR65" s="18">
        <f t="shared" si="69"/>
        <v>-358800000</v>
      </c>
      <c r="BT65" s="52"/>
      <c r="BU65" s="22">
        <v>1.3333333333333334E-2</v>
      </c>
      <c r="BV65" s="18">
        <v>0</v>
      </c>
      <c r="BW65" s="20">
        <f t="shared" ref="BW65:CY65" si="130">$B$20/($B$21-$B$22*BV65)</f>
        <v>0.34883720930232553</v>
      </c>
      <c r="BX65" s="20">
        <f t="shared" si="130"/>
        <v>0.39716748768472904</v>
      </c>
      <c r="BY65" s="20">
        <f t="shared" si="130"/>
        <v>0.40494040593779607</v>
      </c>
      <c r="BZ65" s="20">
        <f t="shared" si="130"/>
        <v>0.4062190081621499</v>
      </c>
      <c r="CA65" s="20">
        <f t="shared" si="130"/>
        <v>0.40643010492156101</v>
      </c>
      <c r="CB65" s="20">
        <f t="shared" si="130"/>
        <v>0.40646497802255066</v>
      </c>
      <c r="CC65" s="20">
        <f t="shared" si="130"/>
        <v>0.40647073962099717</v>
      </c>
      <c r="CD65" s="20">
        <f t="shared" si="130"/>
        <v>0.40647169154566137</v>
      </c>
      <c r="CE65" s="20">
        <f t="shared" si="130"/>
        <v>0.40647184882198806</v>
      </c>
      <c r="CF65" s="20">
        <f t="shared" si="130"/>
        <v>0.40647187480708435</v>
      </c>
      <c r="CG65" s="20">
        <f t="shared" si="130"/>
        <v>0.40647187910032606</v>
      </c>
      <c r="CH65" s="20">
        <f t="shared" si="130"/>
        <v>0.40647187980965277</v>
      </c>
      <c r="CI65" s="20">
        <f t="shared" si="130"/>
        <v>0.4064718799268473</v>
      </c>
      <c r="CJ65" s="20">
        <f t="shared" si="130"/>
        <v>0.40647187994621015</v>
      </c>
      <c r="CK65" s="20">
        <f t="shared" si="130"/>
        <v>0.40647187994940925</v>
      </c>
      <c r="CL65" s="20">
        <f t="shared" si="130"/>
        <v>0.40647187994993778</v>
      </c>
      <c r="CM65" s="20">
        <f t="shared" si="130"/>
        <v>0.40647187995002515</v>
      </c>
      <c r="CN65" s="20">
        <f t="shared" si="130"/>
        <v>0.40647187995003953</v>
      </c>
      <c r="CO65" s="20">
        <f t="shared" si="130"/>
        <v>0.40647187995004191</v>
      </c>
      <c r="CP65" s="20">
        <f t="shared" si="130"/>
        <v>0.40647187995004236</v>
      </c>
      <c r="CQ65" s="20">
        <f t="shared" si="130"/>
        <v>0.40647187995004236</v>
      </c>
      <c r="CR65" s="20">
        <f t="shared" si="130"/>
        <v>0.40647187995004236</v>
      </c>
      <c r="CS65" s="20">
        <f t="shared" si="130"/>
        <v>0.40647187995004236</v>
      </c>
      <c r="CT65" s="20">
        <f t="shared" si="130"/>
        <v>0.40647187995004236</v>
      </c>
      <c r="CU65" s="20">
        <f t="shared" si="130"/>
        <v>0.40647187995004236</v>
      </c>
      <c r="CV65" s="20">
        <f t="shared" si="130"/>
        <v>0.40647187995004236</v>
      </c>
      <c r="CW65" s="20">
        <f t="shared" si="130"/>
        <v>0.40647187995004236</v>
      </c>
      <c r="CX65" s="20">
        <f t="shared" si="130"/>
        <v>0.40647187995004236</v>
      </c>
      <c r="CY65" s="18">
        <f t="shared" si="130"/>
        <v>0.40647187995004236</v>
      </c>
      <c r="CZ65" s="12">
        <f t="shared" si="71"/>
        <v>100</v>
      </c>
      <c r="DB65" s="52"/>
      <c r="DC65" s="22">
        <v>1.3333333333333334E-2</v>
      </c>
      <c r="DD65" s="18">
        <f t="shared" si="72"/>
        <v>300</v>
      </c>
      <c r="DE65" s="20">
        <f t="shared" si="73"/>
        <v>191.56464565144148</v>
      </c>
      <c r="DF65" s="20">
        <f t="shared" si="74"/>
        <v>170.75228843807849</v>
      </c>
      <c r="DG65" s="20">
        <f t="shared" si="75"/>
        <v>161.34189996923888</v>
      </c>
      <c r="DH65" s="20">
        <f t="shared" si="76"/>
        <v>153.75842356662841</v>
      </c>
      <c r="DI65" s="20">
        <f t="shared" si="77"/>
        <v>146.5729466644087</v>
      </c>
      <c r="DJ65" s="20">
        <f t="shared" si="78"/>
        <v>139.59086949079179</v>
      </c>
      <c r="DK65" s="20">
        <f t="shared" si="79"/>
        <v>132.80941631209851</v>
      </c>
      <c r="DL65" s="20">
        <f t="shared" si="80"/>
        <v>126.25405078736033</v>
      </c>
      <c r="DM65" s="20">
        <f t="shared" si="81"/>
        <v>119.95243496539666</v>
      </c>
      <c r="DN65" s="20">
        <f t="shared" si="82"/>
        <v>113.93006954498317</v>
      </c>
      <c r="DO65" s="20">
        <f t="shared" si="83"/>
        <v>108.20937947005604</v>
      </c>
      <c r="DP65" s="20">
        <f t="shared" si="84"/>
        <v>102.80937628578286</v>
      </c>
      <c r="DQ65" s="20">
        <f t="shared" si="85"/>
        <v>97.745447839155474</v>
      </c>
      <c r="DR65" s="20">
        <f t="shared" si="86"/>
        <v>93.029205869556378</v>
      </c>
      <c r="DS65" s="20">
        <f t="shared" si="87"/>
        <v>88.668381157512542</v>
      </c>
      <c r="DT65" s="20">
        <f t="shared" si="88"/>
        <v>84.666764619111049</v>
      </c>
      <c r="DU65" s="20">
        <f t="shared" si="89"/>
        <v>81.024193576245779</v>
      </c>
      <c r="DV65" s="20">
        <f t="shared" si="90"/>
        <v>77.73658208864849</v>
      </c>
      <c r="DW65" s="20">
        <f t="shared" si="91"/>
        <v>74.795993760056788</v>
      </c>
      <c r="DX65" s="20">
        <f t="shared" si="92"/>
        <v>72.190754998625195</v>
      </c>
      <c r="DY65" s="20">
        <f t="shared" si="93"/>
        <v>69.905606349700477</v>
      </c>
      <c r="DZ65" s="20">
        <f t="shared" si="94"/>
        <v>67.921889231418831</v>
      </c>
      <c r="EA65" s="20">
        <f t="shared" si="95"/>
        <v>66.217765188009551</v>
      </c>
      <c r="EB65" s="20">
        <f t="shared" si="96"/>
        <v>64.768464626894939</v>
      </c>
      <c r="EC65" s="20">
        <f t="shared" si="97"/>
        <v>63.546561916138266</v>
      </c>
      <c r="ED65" s="20">
        <f t="shared" si="98"/>
        <v>62.522273679345794</v>
      </c>
      <c r="EE65" s="20">
        <f t="shared" si="99"/>
        <v>61.663777125514514</v>
      </c>
      <c r="EF65" s="20">
        <f t="shared" si="100"/>
        <v>60.937545280743485</v>
      </c>
      <c r="EG65" s="20">
        <f t="shared" si="101"/>
        <v>60.308696036422354</v>
      </c>
      <c r="EH65" s="18">
        <f t="shared" si="102"/>
        <v>59.741351984263943</v>
      </c>
    </row>
    <row r="66" spans="5:138" x14ac:dyDescent="0.3">
      <c r="E66" s="54"/>
      <c r="F66" s="22">
        <v>0.01</v>
      </c>
      <c r="G66" s="15">
        <f t="shared" si="10"/>
        <v>300</v>
      </c>
      <c r="H66" s="16">
        <f t="shared" si="11"/>
        <v>287.55731592280466</v>
      </c>
      <c r="I66" s="16">
        <f t="shared" si="12"/>
        <v>275.1789881112411</v>
      </c>
      <c r="J66" s="16">
        <f t="shared" si="13"/>
        <v>262.92862057242814</v>
      </c>
      <c r="K66" s="16">
        <f t="shared" si="14"/>
        <v>250.86832312504339</v>
      </c>
      <c r="L66" s="16">
        <f t="shared" si="15"/>
        <v>239.05798991969317</v>
      </c>
      <c r="M66" s="16">
        <f t="shared" si="16"/>
        <v>227.55460812415373</v>
      </c>
      <c r="N66" s="16">
        <f t="shared" si="17"/>
        <v>216.41160589358753</v>
      </c>
      <c r="O66" s="16">
        <f t="shared" si="18"/>
        <v>205.678247982725</v>
      </c>
      <c r="P66" s="16">
        <f t="shared" si="19"/>
        <v>195.39908644890835</v>
      </c>
      <c r="Q66" s="16">
        <f t="shared" si="20"/>
        <v>185.6134728694413</v>
      </c>
      <c r="R66" s="16">
        <f t="shared" si="21"/>
        <v>176.35513738430194</v>
      </c>
      <c r="S66" s="16">
        <f t="shared" si="22"/>
        <v>167.65183870795173</v>
      </c>
      <c r="T66" s="16">
        <f t="shared" si="23"/>
        <v>159.52508806398617</v>
      </c>
      <c r="U66" s="16">
        <f t="shared" si="24"/>
        <v>151.9899488150304</v>
      </c>
      <c r="V66" s="16">
        <f t="shared" si="25"/>
        <v>145.05491241676188</v>
      </c>
      <c r="W66" s="16">
        <f t="shared" si="26"/>
        <v>138.72185024525535</v>
      </c>
      <c r="X66" s="16">
        <f t="shared" si="27"/>
        <v>132.98603985299525</v>
      </c>
      <c r="Y66" s="16">
        <f t="shared" si="28"/>
        <v>127.83626331823518</v>
      </c>
      <c r="Z66" s="16">
        <f t="shared" si="29"/>
        <v>123.25497457719487</v>
      </c>
      <c r="AA66" s="16">
        <f t="shared" si="30"/>
        <v>119.21853197592424</v>
      </c>
      <c r="AB66" s="16">
        <f t="shared" si="31"/>
        <v>115.69749175042324</v>
      </c>
      <c r="AC66" s="16">
        <f t="shared" si="32"/>
        <v>112.65695773678326</v>
      </c>
      <c r="AD66" s="16">
        <f t="shared" si="33"/>
        <v>110.05698232030863</v>
      </c>
      <c r="AE66" s="16">
        <f t="shared" si="34"/>
        <v>107.85301344262041</v>
      </c>
      <c r="AF66" s="16">
        <f t="shared" si="35"/>
        <v>105.99638238448574</v>
      </c>
      <c r="AG66" s="16">
        <f t="shared" si="36"/>
        <v>104.43482701328516</v>
      </c>
      <c r="AH66" s="16">
        <f t="shared" si="37"/>
        <v>103.11304521014017</v>
      </c>
      <c r="AI66" s="16">
        <f t="shared" si="120"/>
        <v>101.9732732550159</v>
      </c>
      <c r="AJ66" s="16">
        <f t="shared" si="103"/>
        <v>100.95588403142658</v>
      </c>
      <c r="AK66" s="15">
        <f t="shared" si="39"/>
        <v>100</v>
      </c>
      <c r="AL66" s="52"/>
      <c r="AM66" s="13">
        <v>0.01</v>
      </c>
      <c r="AN66" s="18">
        <f t="shared" si="40"/>
        <v>-1076400000</v>
      </c>
      <c r="AO66" s="19">
        <f t="shared" si="104"/>
        <v>-1031489214.5913075</v>
      </c>
      <c r="AP66" s="19">
        <f t="shared" si="41"/>
        <v>-986812453.81394577</v>
      </c>
      <c r="AQ66" s="19">
        <f t="shared" si="42"/>
        <v>-942601000.43535924</v>
      </c>
      <c r="AR66" s="19">
        <f t="shared" si="43"/>
        <v>-899080691.41063309</v>
      </c>
      <c r="AS66" s="19">
        <f t="shared" si="44"/>
        <v>-856469288.9952426</v>
      </c>
      <c r="AT66" s="19">
        <f t="shared" si="45"/>
        <v>-814973962.55047405</v>
      </c>
      <c r="AU66" s="19">
        <f t="shared" si="46"/>
        <v>-774788914.46261895</v>
      </c>
      <c r="AV66" s="19">
        <f t="shared" si="47"/>
        <v>-736093180.76104724</v>
      </c>
      <c r="AW66" s="19">
        <f t="shared" si="48"/>
        <v>-699048633.64767575</v>
      </c>
      <c r="AX66" s="19">
        <f t="shared" si="49"/>
        <v>-663798209.34503889</v>
      </c>
      <c r="AY66" s="19">
        <f t="shared" si="50"/>
        <v>-630464380.54648829</v>
      </c>
      <c r="AZ66" s="19">
        <f t="shared" si="51"/>
        <v>-599147888.43005836</v>
      </c>
      <c r="BA66" s="19">
        <f t="shared" si="52"/>
        <v>-569926744.79824197</v>
      </c>
      <c r="BB66" s="19">
        <f t="shared" si="53"/>
        <v>-542855510.54648411</v>
      </c>
      <c r="BC66" s="19">
        <f t="shared" si="54"/>
        <v>-517964852.45254695</v>
      </c>
      <c r="BD66" s="19">
        <f t="shared" si="55"/>
        <v>-495261376.31389606</v>
      </c>
      <c r="BE66" s="19">
        <f t="shared" si="56"/>
        <v>-474727730.82249683</v>
      </c>
      <c r="BF66" s="19">
        <f t="shared" si="57"/>
        <v>-456322973.31982827</v>
      </c>
      <c r="BG66" s="19">
        <f t="shared" si="58"/>
        <v>-439983185.76432884</v>
      </c>
      <c r="BH66" s="19">
        <f t="shared" si="59"/>
        <v>-425622326.89392978</v>
      </c>
      <c r="BI66" s="19">
        <f t="shared" si="60"/>
        <v>-413133304.68341404</v>
      </c>
      <c r="BJ66" s="19">
        <f t="shared" si="61"/>
        <v>-402389251.7673139</v>
      </c>
      <c r="BK66" s="19">
        <f t="shared" si="62"/>
        <v>-393244985.49469197</v>
      </c>
      <c r="BL66" s="19">
        <f t="shared" si="63"/>
        <v>-385538633.65917021</v>
      </c>
      <c r="BM66" s="19">
        <f t="shared" si="64"/>
        <v>-379093406.65162784</v>
      </c>
      <c r="BN66" s="19">
        <f t="shared" si="65"/>
        <v>-373719496.75191712</v>
      </c>
      <c r="BO66" s="19">
        <f t="shared" si="66"/>
        <v>-369216085.44317734</v>
      </c>
      <c r="BP66" s="19">
        <f t="shared" si="67"/>
        <v>-365373439.93044233</v>
      </c>
      <c r="BQ66" s="19">
        <f t="shared" si="68"/>
        <v>-361975080.40920496</v>
      </c>
      <c r="BR66" s="18">
        <f t="shared" si="69"/>
        <v>-358800000</v>
      </c>
      <c r="BT66" s="52"/>
      <c r="BU66" s="22">
        <v>0.01</v>
      </c>
      <c r="BV66" s="18">
        <v>0</v>
      </c>
      <c r="BW66" s="20">
        <f t="shared" ref="BW66:CY66" si="131">$B$20/($B$21-$B$22*BV66)</f>
        <v>0.34883720930232553</v>
      </c>
      <c r="BX66" s="20">
        <f t="shared" si="131"/>
        <v>0.39716748768472904</v>
      </c>
      <c r="BY66" s="20">
        <f t="shared" si="131"/>
        <v>0.40494040593779607</v>
      </c>
      <c r="BZ66" s="20">
        <f t="shared" si="131"/>
        <v>0.4062190081621499</v>
      </c>
      <c r="CA66" s="20">
        <f t="shared" si="131"/>
        <v>0.40643010492156101</v>
      </c>
      <c r="CB66" s="20">
        <f t="shared" si="131"/>
        <v>0.40646497802255066</v>
      </c>
      <c r="CC66" s="20">
        <f t="shared" si="131"/>
        <v>0.40647073962099717</v>
      </c>
      <c r="CD66" s="20">
        <f t="shared" si="131"/>
        <v>0.40647169154566137</v>
      </c>
      <c r="CE66" s="20">
        <f t="shared" si="131"/>
        <v>0.40647184882198806</v>
      </c>
      <c r="CF66" s="20">
        <f t="shared" si="131"/>
        <v>0.40647187480708435</v>
      </c>
      <c r="CG66" s="20">
        <f t="shared" si="131"/>
        <v>0.40647187910032606</v>
      </c>
      <c r="CH66" s="20">
        <f t="shared" si="131"/>
        <v>0.40647187980965277</v>
      </c>
      <c r="CI66" s="20">
        <f t="shared" si="131"/>
        <v>0.4064718799268473</v>
      </c>
      <c r="CJ66" s="20">
        <f t="shared" si="131"/>
        <v>0.40647187994621015</v>
      </c>
      <c r="CK66" s="20">
        <f t="shared" si="131"/>
        <v>0.40647187994940925</v>
      </c>
      <c r="CL66" s="20">
        <f t="shared" si="131"/>
        <v>0.40647187994993778</v>
      </c>
      <c r="CM66" s="20">
        <f t="shared" si="131"/>
        <v>0.40647187995002515</v>
      </c>
      <c r="CN66" s="20">
        <f t="shared" si="131"/>
        <v>0.40647187995003953</v>
      </c>
      <c r="CO66" s="20">
        <f t="shared" si="131"/>
        <v>0.40647187995004191</v>
      </c>
      <c r="CP66" s="20">
        <f t="shared" si="131"/>
        <v>0.40647187995004236</v>
      </c>
      <c r="CQ66" s="20">
        <f t="shared" si="131"/>
        <v>0.40647187995004236</v>
      </c>
      <c r="CR66" s="20">
        <f t="shared" si="131"/>
        <v>0.40647187995004236</v>
      </c>
      <c r="CS66" s="20">
        <f t="shared" si="131"/>
        <v>0.40647187995004236</v>
      </c>
      <c r="CT66" s="20">
        <f t="shared" si="131"/>
        <v>0.40647187995004236</v>
      </c>
      <c r="CU66" s="20">
        <f t="shared" si="131"/>
        <v>0.40647187995004236</v>
      </c>
      <c r="CV66" s="20">
        <f t="shared" si="131"/>
        <v>0.40647187995004236</v>
      </c>
      <c r="CW66" s="20">
        <f t="shared" si="131"/>
        <v>0.40647187995004236</v>
      </c>
      <c r="CX66" s="20">
        <f t="shared" si="131"/>
        <v>0.40647187995004236</v>
      </c>
      <c r="CY66" s="18">
        <f t="shared" si="131"/>
        <v>0.40647187995004236</v>
      </c>
      <c r="CZ66" s="12">
        <f t="shared" si="71"/>
        <v>100</v>
      </c>
      <c r="DB66" s="52"/>
      <c r="DC66" s="22">
        <v>0.01</v>
      </c>
      <c r="DD66" s="18">
        <f t="shared" si="72"/>
        <v>300</v>
      </c>
      <c r="DE66" s="20">
        <f t="shared" si="73"/>
        <v>191.56464565144148</v>
      </c>
      <c r="DF66" s="20">
        <f t="shared" si="74"/>
        <v>170.75228843807847</v>
      </c>
      <c r="DG66" s="20">
        <f t="shared" si="75"/>
        <v>161.34189996923888</v>
      </c>
      <c r="DH66" s="20">
        <f t="shared" si="76"/>
        <v>153.75842356662841</v>
      </c>
      <c r="DI66" s="20">
        <f t="shared" si="77"/>
        <v>146.57294666440868</v>
      </c>
      <c r="DJ66" s="20">
        <f t="shared" si="78"/>
        <v>139.59086949079176</v>
      </c>
      <c r="DK66" s="20">
        <f t="shared" si="79"/>
        <v>132.80941631209845</v>
      </c>
      <c r="DL66" s="20">
        <f t="shared" si="80"/>
        <v>126.25405078736028</v>
      </c>
      <c r="DM66" s="20">
        <f t="shared" si="81"/>
        <v>119.95243496539662</v>
      </c>
      <c r="DN66" s="20">
        <f t="shared" si="82"/>
        <v>113.93006954498317</v>
      </c>
      <c r="DO66" s="20">
        <f t="shared" si="83"/>
        <v>108.20937947005604</v>
      </c>
      <c r="DP66" s="20">
        <f t="shared" si="84"/>
        <v>102.80937628578286</v>
      </c>
      <c r="DQ66" s="20">
        <f t="shared" si="85"/>
        <v>97.745447839155474</v>
      </c>
      <c r="DR66" s="20">
        <f t="shared" si="86"/>
        <v>93.02920586955635</v>
      </c>
      <c r="DS66" s="20">
        <f t="shared" si="87"/>
        <v>88.668381157512513</v>
      </c>
      <c r="DT66" s="20">
        <f t="shared" si="88"/>
        <v>84.666764619111021</v>
      </c>
      <c r="DU66" s="20">
        <f t="shared" si="89"/>
        <v>81.02419357624575</v>
      </c>
      <c r="DV66" s="20">
        <f t="shared" si="90"/>
        <v>77.736582088648461</v>
      </c>
      <c r="DW66" s="20">
        <f t="shared" si="91"/>
        <v>74.79599376005676</v>
      </c>
      <c r="DX66" s="20">
        <f t="shared" si="92"/>
        <v>72.190754998625195</v>
      </c>
      <c r="DY66" s="20">
        <f t="shared" si="93"/>
        <v>69.905606349700477</v>
      </c>
      <c r="DZ66" s="20">
        <f t="shared" si="94"/>
        <v>67.921889231418831</v>
      </c>
      <c r="EA66" s="20">
        <f t="shared" si="95"/>
        <v>66.217765188009537</v>
      </c>
      <c r="EB66" s="20">
        <f t="shared" si="96"/>
        <v>64.768464626894925</v>
      </c>
      <c r="EC66" s="20">
        <f t="shared" si="97"/>
        <v>63.546561916138259</v>
      </c>
      <c r="ED66" s="20">
        <f t="shared" si="98"/>
        <v>62.522273679345773</v>
      </c>
      <c r="EE66" s="20">
        <f t="shared" si="99"/>
        <v>61.663777125514486</v>
      </c>
      <c r="EF66" s="20">
        <f t="shared" si="100"/>
        <v>60.937545280743464</v>
      </c>
      <c r="EG66" s="20">
        <f t="shared" si="101"/>
        <v>60.30869603642234</v>
      </c>
      <c r="EH66" s="18">
        <f t="shared" si="102"/>
        <v>59.741351984263929</v>
      </c>
    </row>
    <row r="67" spans="5:138" x14ac:dyDescent="0.3">
      <c r="E67" s="54"/>
      <c r="F67" s="22">
        <v>6.6666666666666671E-3</v>
      </c>
      <c r="G67" s="15">
        <f t="shared" si="10"/>
        <v>300</v>
      </c>
      <c r="H67" s="16">
        <f t="shared" si="11"/>
        <v>287.55731592280466</v>
      </c>
      <c r="I67" s="16">
        <f t="shared" si="12"/>
        <v>275.1789881112411</v>
      </c>
      <c r="J67" s="16">
        <f t="shared" si="13"/>
        <v>262.92862057242809</v>
      </c>
      <c r="K67" s="16">
        <f t="shared" si="14"/>
        <v>250.86832312504333</v>
      </c>
      <c r="L67" s="16">
        <f t="shared" si="15"/>
        <v>239.05798991969311</v>
      </c>
      <c r="M67" s="16">
        <f t="shared" si="16"/>
        <v>227.55460812415365</v>
      </c>
      <c r="N67" s="16">
        <f t="shared" si="17"/>
        <v>216.41160589358745</v>
      </c>
      <c r="O67" s="16">
        <f t="shared" si="18"/>
        <v>205.67824798272488</v>
      </c>
      <c r="P67" s="16">
        <f t="shared" si="19"/>
        <v>195.39908644890826</v>
      </c>
      <c r="Q67" s="16">
        <f t="shared" si="20"/>
        <v>185.61347286944124</v>
      </c>
      <c r="R67" s="16">
        <f t="shared" si="21"/>
        <v>176.35513738430191</v>
      </c>
      <c r="S67" s="16">
        <f t="shared" si="22"/>
        <v>167.6518387079517</v>
      </c>
      <c r="T67" s="16">
        <f t="shared" si="23"/>
        <v>159.52508806398617</v>
      </c>
      <c r="U67" s="16">
        <f t="shared" si="24"/>
        <v>151.9899488150304</v>
      </c>
      <c r="V67" s="16">
        <f t="shared" si="25"/>
        <v>145.05491241676188</v>
      </c>
      <c r="W67" s="16">
        <f t="shared" si="26"/>
        <v>138.72185024525535</v>
      </c>
      <c r="X67" s="16">
        <f t="shared" si="27"/>
        <v>132.98603985299525</v>
      </c>
      <c r="Y67" s="16">
        <f t="shared" si="28"/>
        <v>127.83626331823518</v>
      </c>
      <c r="Z67" s="16">
        <f t="shared" si="29"/>
        <v>123.25497457719486</v>
      </c>
      <c r="AA67" s="16">
        <f t="shared" si="30"/>
        <v>119.21853197592421</v>
      </c>
      <c r="AB67" s="16">
        <f t="shared" si="31"/>
        <v>115.6974917504232</v>
      </c>
      <c r="AC67" s="16">
        <f t="shared" si="32"/>
        <v>112.65695773678323</v>
      </c>
      <c r="AD67" s="16">
        <f t="shared" si="33"/>
        <v>110.05698232030861</v>
      </c>
      <c r="AE67" s="16">
        <f t="shared" si="34"/>
        <v>107.85301344262035</v>
      </c>
      <c r="AF67" s="16">
        <f t="shared" si="35"/>
        <v>105.99638238448571</v>
      </c>
      <c r="AG67" s="16">
        <f t="shared" si="36"/>
        <v>104.43482701328514</v>
      </c>
      <c r="AH67" s="16">
        <f t="shared" si="37"/>
        <v>103.11304521014017</v>
      </c>
      <c r="AI67" s="16">
        <f t="shared" si="120"/>
        <v>101.9732732550159</v>
      </c>
      <c r="AJ67" s="16">
        <f t="shared" si="103"/>
        <v>100.95588403142658</v>
      </c>
      <c r="AK67" s="15">
        <f t="shared" si="39"/>
        <v>100</v>
      </c>
      <c r="AL67" s="52"/>
      <c r="AM67" s="13">
        <v>6.6666666666666671E-3</v>
      </c>
      <c r="AN67" s="18">
        <f t="shared" si="40"/>
        <v>-1076400000</v>
      </c>
      <c r="AO67" s="19">
        <f t="shared" si="104"/>
        <v>-1031489214.5913075</v>
      </c>
      <c r="AP67" s="19">
        <f t="shared" si="41"/>
        <v>-986812453.81394577</v>
      </c>
      <c r="AQ67" s="19">
        <f t="shared" si="42"/>
        <v>-942601000.435359</v>
      </c>
      <c r="AR67" s="19">
        <f t="shared" si="43"/>
        <v>-899080691.41063285</v>
      </c>
      <c r="AS67" s="19">
        <f t="shared" si="44"/>
        <v>-856469288.99524236</v>
      </c>
      <c r="AT67" s="19">
        <f t="shared" si="45"/>
        <v>-814973962.55047369</v>
      </c>
      <c r="AU67" s="19">
        <f t="shared" si="46"/>
        <v>-774788914.46261871</v>
      </c>
      <c r="AV67" s="19">
        <f t="shared" si="47"/>
        <v>-736093180.76104712</v>
      </c>
      <c r="AW67" s="19">
        <f t="shared" si="48"/>
        <v>-699048633.64767551</v>
      </c>
      <c r="AX67" s="19">
        <f t="shared" si="49"/>
        <v>-663798209.34503865</v>
      </c>
      <c r="AY67" s="19">
        <f t="shared" si="50"/>
        <v>-630464380.54648817</v>
      </c>
      <c r="AZ67" s="19">
        <f t="shared" si="51"/>
        <v>-599147888.43005836</v>
      </c>
      <c r="BA67" s="19">
        <f t="shared" si="52"/>
        <v>-569926744.79824197</v>
      </c>
      <c r="BB67" s="19">
        <f t="shared" si="53"/>
        <v>-542855510.54648411</v>
      </c>
      <c r="BC67" s="19">
        <f t="shared" si="54"/>
        <v>-517964852.45254695</v>
      </c>
      <c r="BD67" s="19">
        <f t="shared" si="55"/>
        <v>-495261376.31389606</v>
      </c>
      <c r="BE67" s="19">
        <f t="shared" si="56"/>
        <v>-474727730.82249677</v>
      </c>
      <c r="BF67" s="19">
        <f t="shared" si="57"/>
        <v>-456322973.31982821</v>
      </c>
      <c r="BG67" s="19">
        <f t="shared" si="58"/>
        <v>-439983185.76432878</v>
      </c>
      <c r="BH67" s="19">
        <f t="shared" si="59"/>
        <v>-425622326.89392972</v>
      </c>
      <c r="BI67" s="19">
        <f t="shared" si="60"/>
        <v>-413133304.68341392</v>
      </c>
      <c r="BJ67" s="19">
        <f t="shared" si="61"/>
        <v>-402389251.76731378</v>
      </c>
      <c r="BK67" s="19">
        <f t="shared" si="62"/>
        <v>-393244985.49469191</v>
      </c>
      <c r="BL67" s="19">
        <f t="shared" si="63"/>
        <v>-385538633.65917009</v>
      </c>
      <c r="BM67" s="19">
        <f t="shared" si="64"/>
        <v>-379093406.65162772</v>
      </c>
      <c r="BN67" s="19">
        <f t="shared" si="65"/>
        <v>-373719496.751917</v>
      </c>
      <c r="BO67" s="19">
        <f t="shared" si="66"/>
        <v>-369216085.44317728</v>
      </c>
      <c r="BP67" s="19">
        <f t="shared" si="67"/>
        <v>-365373439.93044233</v>
      </c>
      <c r="BQ67" s="19">
        <f t="shared" si="68"/>
        <v>-361975080.4092049</v>
      </c>
      <c r="BR67" s="18">
        <f t="shared" si="69"/>
        <v>-358800000</v>
      </c>
      <c r="BT67" s="52"/>
      <c r="BU67" s="22">
        <v>6.6666666666666671E-3</v>
      </c>
      <c r="BV67" s="18">
        <v>0</v>
      </c>
      <c r="BW67" s="20">
        <f t="shared" ref="BW67:CY67" si="132">$B$20/($B$21-$B$22*BV67)</f>
        <v>0.34883720930232553</v>
      </c>
      <c r="BX67" s="20">
        <f t="shared" si="132"/>
        <v>0.39716748768472904</v>
      </c>
      <c r="BY67" s="20">
        <f t="shared" si="132"/>
        <v>0.40494040593779607</v>
      </c>
      <c r="BZ67" s="20">
        <f t="shared" si="132"/>
        <v>0.4062190081621499</v>
      </c>
      <c r="CA67" s="20">
        <f t="shared" si="132"/>
        <v>0.40643010492156101</v>
      </c>
      <c r="CB67" s="20">
        <f t="shared" si="132"/>
        <v>0.40646497802255066</v>
      </c>
      <c r="CC67" s="20">
        <f t="shared" si="132"/>
        <v>0.40647073962099717</v>
      </c>
      <c r="CD67" s="20">
        <f t="shared" si="132"/>
        <v>0.40647169154566137</v>
      </c>
      <c r="CE67" s="20">
        <f t="shared" si="132"/>
        <v>0.40647184882198806</v>
      </c>
      <c r="CF67" s="20">
        <f t="shared" si="132"/>
        <v>0.40647187480708435</v>
      </c>
      <c r="CG67" s="20">
        <f t="shared" si="132"/>
        <v>0.40647187910032606</v>
      </c>
      <c r="CH67" s="20">
        <f t="shared" si="132"/>
        <v>0.40647187980965277</v>
      </c>
      <c r="CI67" s="20">
        <f t="shared" si="132"/>
        <v>0.4064718799268473</v>
      </c>
      <c r="CJ67" s="20">
        <f t="shared" si="132"/>
        <v>0.40647187994621015</v>
      </c>
      <c r="CK67" s="20">
        <f t="shared" si="132"/>
        <v>0.40647187994940925</v>
      </c>
      <c r="CL67" s="20">
        <f t="shared" si="132"/>
        <v>0.40647187994993778</v>
      </c>
      <c r="CM67" s="20">
        <f t="shared" si="132"/>
        <v>0.40647187995002515</v>
      </c>
      <c r="CN67" s="20">
        <f t="shared" si="132"/>
        <v>0.40647187995003953</v>
      </c>
      <c r="CO67" s="20">
        <f t="shared" si="132"/>
        <v>0.40647187995004191</v>
      </c>
      <c r="CP67" s="20">
        <f t="shared" si="132"/>
        <v>0.40647187995004236</v>
      </c>
      <c r="CQ67" s="20">
        <f t="shared" si="132"/>
        <v>0.40647187995004236</v>
      </c>
      <c r="CR67" s="20">
        <f t="shared" si="132"/>
        <v>0.40647187995004236</v>
      </c>
      <c r="CS67" s="20">
        <f t="shared" si="132"/>
        <v>0.40647187995004236</v>
      </c>
      <c r="CT67" s="20">
        <f t="shared" si="132"/>
        <v>0.40647187995004236</v>
      </c>
      <c r="CU67" s="20">
        <f t="shared" si="132"/>
        <v>0.40647187995004236</v>
      </c>
      <c r="CV67" s="20">
        <f t="shared" si="132"/>
        <v>0.40647187995004236</v>
      </c>
      <c r="CW67" s="20">
        <f t="shared" si="132"/>
        <v>0.40647187995004236</v>
      </c>
      <c r="CX67" s="20">
        <f t="shared" si="132"/>
        <v>0.40647187995004236</v>
      </c>
      <c r="CY67" s="18">
        <f t="shared" si="132"/>
        <v>0.40647187995004236</v>
      </c>
      <c r="CZ67" s="12">
        <f t="shared" si="71"/>
        <v>100</v>
      </c>
      <c r="DB67" s="52"/>
      <c r="DC67" s="22">
        <v>6.6666666666666671E-3</v>
      </c>
      <c r="DD67" s="18">
        <f t="shared" si="72"/>
        <v>300</v>
      </c>
      <c r="DE67" s="20">
        <f t="shared" si="73"/>
        <v>191.56464565144148</v>
      </c>
      <c r="DF67" s="20">
        <f t="shared" si="74"/>
        <v>170.75228843807847</v>
      </c>
      <c r="DG67" s="20">
        <f t="shared" si="75"/>
        <v>161.34189996923885</v>
      </c>
      <c r="DH67" s="20">
        <f t="shared" si="76"/>
        <v>153.75842356662838</v>
      </c>
      <c r="DI67" s="20">
        <f t="shared" si="77"/>
        <v>146.57294666440865</v>
      </c>
      <c r="DJ67" s="20">
        <f t="shared" si="78"/>
        <v>139.59086949079173</v>
      </c>
      <c r="DK67" s="20">
        <f t="shared" si="79"/>
        <v>132.80941631209839</v>
      </c>
      <c r="DL67" s="20">
        <f t="shared" si="80"/>
        <v>126.25405078736023</v>
      </c>
      <c r="DM67" s="20">
        <f t="shared" si="81"/>
        <v>119.95243496539656</v>
      </c>
      <c r="DN67" s="20">
        <f t="shared" si="82"/>
        <v>113.93006954498313</v>
      </c>
      <c r="DO67" s="20">
        <f t="shared" si="83"/>
        <v>108.20937947005601</v>
      </c>
      <c r="DP67" s="20">
        <f t="shared" si="84"/>
        <v>102.80937628578285</v>
      </c>
      <c r="DQ67" s="20">
        <f t="shared" si="85"/>
        <v>97.74544783915546</v>
      </c>
      <c r="DR67" s="20">
        <f t="shared" si="86"/>
        <v>93.02920586955635</v>
      </c>
      <c r="DS67" s="20">
        <f t="shared" si="87"/>
        <v>88.668381157512513</v>
      </c>
      <c r="DT67" s="20">
        <f t="shared" si="88"/>
        <v>84.666764619111021</v>
      </c>
      <c r="DU67" s="20">
        <f t="shared" si="89"/>
        <v>81.02419357624575</v>
      </c>
      <c r="DV67" s="20">
        <f t="shared" si="90"/>
        <v>77.736582088648461</v>
      </c>
      <c r="DW67" s="20">
        <f t="shared" si="91"/>
        <v>74.79599376005676</v>
      </c>
      <c r="DX67" s="20">
        <f t="shared" si="92"/>
        <v>72.190754998625181</v>
      </c>
      <c r="DY67" s="20">
        <f t="shared" si="93"/>
        <v>69.905606349700449</v>
      </c>
      <c r="DZ67" s="20">
        <f t="shared" si="94"/>
        <v>67.921889231418803</v>
      </c>
      <c r="EA67" s="20">
        <f t="shared" si="95"/>
        <v>66.217765188009523</v>
      </c>
      <c r="EB67" s="20">
        <f t="shared" si="96"/>
        <v>64.768464626894897</v>
      </c>
      <c r="EC67" s="20">
        <f t="shared" si="97"/>
        <v>63.546561916138231</v>
      </c>
      <c r="ED67" s="20">
        <f t="shared" si="98"/>
        <v>62.522273679345751</v>
      </c>
      <c r="EE67" s="20">
        <f t="shared" si="99"/>
        <v>61.663777125514478</v>
      </c>
      <c r="EF67" s="20">
        <f t="shared" si="100"/>
        <v>60.937545280743464</v>
      </c>
      <c r="EG67" s="20">
        <f t="shared" si="101"/>
        <v>60.30869603642234</v>
      </c>
      <c r="EH67" s="18">
        <f t="shared" si="102"/>
        <v>59.741351984263929</v>
      </c>
    </row>
    <row r="68" spans="5:138" x14ac:dyDescent="0.3">
      <c r="E68" s="54"/>
      <c r="F68" s="22">
        <v>3.3333333333333335E-3</v>
      </c>
      <c r="G68" s="15">
        <f t="shared" si="10"/>
        <v>300</v>
      </c>
      <c r="H68" s="16">
        <f t="shared" si="11"/>
        <v>287.55731592280466</v>
      </c>
      <c r="I68" s="16">
        <f t="shared" si="12"/>
        <v>275.1789881112411</v>
      </c>
      <c r="J68" s="16">
        <f t="shared" si="13"/>
        <v>262.92862057242809</v>
      </c>
      <c r="K68" s="16">
        <f t="shared" si="14"/>
        <v>250.86832312504328</v>
      </c>
      <c r="L68" s="16">
        <f t="shared" si="15"/>
        <v>239.05798991969306</v>
      </c>
      <c r="M68" s="16">
        <f t="shared" si="16"/>
        <v>227.55460812415362</v>
      </c>
      <c r="N68" s="16">
        <f t="shared" si="17"/>
        <v>216.41160589358745</v>
      </c>
      <c r="O68" s="16">
        <f t="shared" si="18"/>
        <v>205.67824798272488</v>
      </c>
      <c r="P68" s="16">
        <f t="shared" si="19"/>
        <v>195.39908644890826</v>
      </c>
      <c r="Q68" s="16">
        <f t="shared" si="20"/>
        <v>185.61347286944124</v>
      </c>
      <c r="R68" s="16">
        <f t="shared" si="21"/>
        <v>176.35513738430191</v>
      </c>
      <c r="S68" s="16">
        <f t="shared" si="22"/>
        <v>167.6518387079517</v>
      </c>
      <c r="T68" s="16">
        <f t="shared" si="23"/>
        <v>159.52508806398617</v>
      </c>
      <c r="U68" s="16">
        <f t="shared" si="24"/>
        <v>151.9899488150304</v>
      </c>
      <c r="V68" s="16">
        <f t="shared" si="25"/>
        <v>145.05491241676188</v>
      </c>
      <c r="W68" s="16">
        <f t="shared" si="26"/>
        <v>138.72185024525535</v>
      </c>
      <c r="X68" s="16">
        <f t="shared" si="27"/>
        <v>132.98603985299525</v>
      </c>
      <c r="Y68" s="16">
        <f t="shared" si="28"/>
        <v>127.83626331823518</v>
      </c>
      <c r="Z68" s="16">
        <f t="shared" si="29"/>
        <v>123.25497457719486</v>
      </c>
      <c r="AA68" s="16">
        <f t="shared" si="30"/>
        <v>119.21853197592421</v>
      </c>
      <c r="AB68" s="16">
        <f t="shared" si="31"/>
        <v>115.6974917504232</v>
      </c>
      <c r="AC68" s="16">
        <f t="shared" si="32"/>
        <v>112.65695773678323</v>
      </c>
      <c r="AD68" s="16">
        <f t="shared" si="33"/>
        <v>110.05698232030861</v>
      </c>
      <c r="AE68" s="16">
        <f t="shared" si="34"/>
        <v>107.85301344262035</v>
      </c>
      <c r="AF68" s="16">
        <f t="shared" si="35"/>
        <v>105.99638238448571</v>
      </c>
      <c r="AG68" s="16">
        <f t="shared" si="36"/>
        <v>104.43482701328514</v>
      </c>
      <c r="AH68" s="16">
        <f t="shared" si="37"/>
        <v>103.11304521014017</v>
      </c>
      <c r="AI68" s="16">
        <f t="shared" si="120"/>
        <v>101.9732732550159</v>
      </c>
      <c r="AJ68" s="16">
        <f t="shared" si="103"/>
        <v>100.95588403142658</v>
      </c>
      <c r="AK68" s="15">
        <f t="shared" si="39"/>
        <v>100</v>
      </c>
      <c r="AL68" s="52"/>
      <c r="AM68" s="13">
        <v>3.3333333333333335E-3</v>
      </c>
      <c r="AN68" s="18">
        <f t="shared" si="40"/>
        <v>-1076400000</v>
      </c>
      <c r="AO68" s="19">
        <f t="shared" si="104"/>
        <v>-1031489214.5913075</v>
      </c>
      <c r="AP68" s="19">
        <f t="shared" si="41"/>
        <v>-986812453.81394577</v>
      </c>
      <c r="AQ68" s="19">
        <f t="shared" si="42"/>
        <v>-942601000.435359</v>
      </c>
      <c r="AR68" s="19">
        <f t="shared" si="43"/>
        <v>-899080691.41063273</v>
      </c>
      <c r="AS68" s="19">
        <f t="shared" si="44"/>
        <v>-856469288.99524236</v>
      </c>
      <c r="AT68" s="19">
        <f t="shared" si="45"/>
        <v>-814973962.55047369</v>
      </c>
      <c r="AU68" s="19">
        <f t="shared" si="46"/>
        <v>-774788914.46261871</v>
      </c>
      <c r="AV68" s="19">
        <f t="shared" si="47"/>
        <v>-736093180.76104712</v>
      </c>
      <c r="AW68" s="19">
        <f t="shared" si="48"/>
        <v>-699048633.64767551</v>
      </c>
      <c r="AX68" s="19">
        <f t="shared" si="49"/>
        <v>-663798209.34503865</v>
      </c>
      <c r="AY68" s="19">
        <f t="shared" si="50"/>
        <v>-630464380.54648817</v>
      </c>
      <c r="AZ68" s="19">
        <f t="shared" si="51"/>
        <v>-599147888.43005836</v>
      </c>
      <c r="BA68" s="19">
        <f t="shared" si="52"/>
        <v>-569926744.79824197</v>
      </c>
      <c r="BB68" s="19">
        <f t="shared" si="53"/>
        <v>-542855510.54648411</v>
      </c>
      <c r="BC68" s="19">
        <f t="shared" si="54"/>
        <v>-517964852.45254695</v>
      </c>
      <c r="BD68" s="19">
        <f t="shared" si="55"/>
        <v>-495261376.31389618</v>
      </c>
      <c r="BE68" s="19">
        <f t="shared" si="56"/>
        <v>-474727730.82249683</v>
      </c>
      <c r="BF68" s="19">
        <f t="shared" si="57"/>
        <v>-456322973.31982821</v>
      </c>
      <c r="BG68" s="19">
        <f t="shared" si="58"/>
        <v>-439983185.76432878</v>
      </c>
      <c r="BH68" s="19">
        <f t="shared" si="59"/>
        <v>-425622326.89392972</v>
      </c>
      <c r="BI68" s="19">
        <f t="shared" si="60"/>
        <v>-413133304.68341386</v>
      </c>
      <c r="BJ68" s="19">
        <f t="shared" si="61"/>
        <v>-402389251.76731378</v>
      </c>
      <c r="BK68" s="19">
        <f t="shared" si="62"/>
        <v>-393244985.49469191</v>
      </c>
      <c r="BL68" s="19">
        <f t="shared" si="63"/>
        <v>-385538633.65917009</v>
      </c>
      <c r="BM68" s="19">
        <f t="shared" si="64"/>
        <v>-379093406.65162772</v>
      </c>
      <c r="BN68" s="19">
        <f t="shared" si="65"/>
        <v>-373719496.751917</v>
      </c>
      <c r="BO68" s="19">
        <f t="shared" si="66"/>
        <v>-369216085.44317728</v>
      </c>
      <c r="BP68" s="19">
        <f t="shared" si="67"/>
        <v>-365373439.93044233</v>
      </c>
      <c r="BQ68" s="19">
        <f t="shared" si="68"/>
        <v>-361975080.4092049</v>
      </c>
      <c r="BR68" s="18">
        <f t="shared" si="69"/>
        <v>-358800000</v>
      </c>
      <c r="BT68" s="52"/>
      <c r="BU68" s="22">
        <v>3.3333333333333335E-3</v>
      </c>
      <c r="BV68" s="18">
        <v>0</v>
      </c>
      <c r="BW68" s="20">
        <f t="shared" ref="BW68:CY68" si="133">$B$20/($B$21-$B$22*BV68)</f>
        <v>0.34883720930232553</v>
      </c>
      <c r="BX68" s="20">
        <f t="shared" si="133"/>
        <v>0.39716748768472904</v>
      </c>
      <c r="BY68" s="20">
        <f t="shared" si="133"/>
        <v>0.40494040593779607</v>
      </c>
      <c r="BZ68" s="20">
        <f t="shared" si="133"/>
        <v>0.4062190081621499</v>
      </c>
      <c r="CA68" s="20">
        <f t="shared" si="133"/>
        <v>0.40643010492156101</v>
      </c>
      <c r="CB68" s="20">
        <f t="shared" si="133"/>
        <v>0.40646497802255066</v>
      </c>
      <c r="CC68" s="20">
        <f t="shared" si="133"/>
        <v>0.40647073962099717</v>
      </c>
      <c r="CD68" s="20">
        <f t="shared" si="133"/>
        <v>0.40647169154566137</v>
      </c>
      <c r="CE68" s="20">
        <f t="shared" si="133"/>
        <v>0.40647184882198806</v>
      </c>
      <c r="CF68" s="20">
        <f t="shared" si="133"/>
        <v>0.40647187480708435</v>
      </c>
      <c r="CG68" s="20">
        <f t="shared" si="133"/>
        <v>0.40647187910032606</v>
      </c>
      <c r="CH68" s="20">
        <f t="shared" si="133"/>
        <v>0.40647187980965277</v>
      </c>
      <c r="CI68" s="20">
        <f t="shared" si="133"/>
        <v>0.4064718799268473</v>
      </c>
      <c r="CJ68" s="20">
        <f t="shared" si="133"/>
        <v>0.40647187994621015</v>
      </c>
      <c r="CK68" s="20">
        <f t="shared" si="133"/>
        <v>0.40647187994940925</v>
      </c>
      <c r="CL68" s="20">
        <f t="shared" si="133"/>
        <v>0.40647187994993778</v>
      </c>
      <c r="CM68" s="20">
        <f t="shared" si="133"/>
        <v>0.40647187995002515</v>
      </c>
      <c r="CN68" s="20">
        <f t="shared" si="133"/>
        <v>0.40647187995003953</v>
      </c>
      <c r="CO68" s="20">
        <f t="shared" si="133"/>
        <v>0.40647187995004191</v>
      </c>
      <c r="CP68" s="20">
        <f t="shared" si="133"/>
        <v>0.40647187995004236</v>
      </c>
      <c r="CQ68" s="20">
        <f t="shared" si="133"/>
        <v>0.40647187995004236</v>
      </c>
      <c r="CR68" s="20">
        <f t="shared" si="133"/>
        <v>0.40647187995004236</v>
      </c>
      <c r="CS68" s="20">
        <f t="shared" si="133"/>
        <v>0.40647187995004236</v>
      </c>
      <c r="CT68" s="20">
        <f t="shared" si="133"/>
        <v>0.40647187995004236</v>
      </c>
      <c r="CU68" s="20">
        <f t="shared" si="133"/>
        <v>0.40647187995004236</v>
      </c>
      <c r="CV68" s="20">
        <f t="shared" si="133"/>
        <v>0.40647187995004236</v>
      </c>
      <c r="CW68" s="20">
        <f t="shared" si="133"/>
        <v>0.40647187995004236</v>
      </c>
      <c r="CX68" s="20">
        <f t="shared" si="133"/>
        <v>0.40647187995004236</v>
      </c>
      <c r="CY68" s="18">
        <f t="shared" si="133"/>
        <v>0.40647187995004236</v>
      </c>
      <c r="CZ68" s="12">
        <f t="shared" si="71"/>
        <v>100</v>
      </c>
      <c r="DB68" s="52"/>
      <c r="DC68" s="22">
        <v>3.3333333333333335E-3</v>
      </c>
      <c r="DD68" s="18">
        <f t="shared" si="72"/>
        <v>300</v>
      </c>
      <c r="DE68" s="20">
        <f t="shared" si="73"/>
        <v>191.56464565144148</v>
      </c>
      <c r="DF68" s="20">
        <f t="shared" si="74"/>
        <v>170.75228843807847</v>
      </c>
      <c r="DG68" s="20">
        <f t="shared" si="75"/>
        <v>161.34189996923885</v>
      </c>
      <c r="DH68" s="20">
        <f t="shared" si="76"/>
        <v>153.75842356662835</v>
      </c>
      <c r="DI68" s="20">
        <f t="shared" si="77"/>
        <v>146.57294666440862</v>
      </c>
      <c r="DJ68" s="20">
        <f t="shared" si="78"/>
        <v>139.5908694907917</v>
      </c>
      <c r="DK68" s="20">
        <f t="shared" si="79"/>
        <v>132.80941631209839</v>
      </c>
      <c r="DL68" s="20">
        <f t="shared" si="80"/>
        <v>126.25405078736023</v>
      </c>
      <c r="DM68" s="20">
        <f t="shared" si="81"/>
        <v>119.95243496539656</v>
      </c>
      <c r="DN68" s="20">
        <f t="shared" si="82"/>
        <v>113.93006954498313</v>
      </c>
      <c r="DO68" s="20">
        <f t="shared" si="83"/>
        <v>108.20937947005601</v>
      </c>
      <c r="DP68" s="20">
        <f t="shared" si="84"/>
        <v>102.80937628578285</v>
      </c>
      <c r="DQ68" s="20">
        <f t="shared" si="85"/>
        <v>97.74544783915546</v>
      </c>
      <c r="DR68" s="20">
        <f t="shared" si="86"/>
        <v>93.02920586955635</v>
      </c>
      <c r="DS68" s="20">
        <f t="shared" si="87"/>
        <v>88.668381157512513</v>
      </c>
      <c r="DT68" s="20">
        <f t="shared" si="88"/>
        <v>84.666764619111021</v>
      </c>
      <c r="DU68" s="20">
        <f t="shared" si="89"/>
        <v>81.02419357624575</v>
      </c>
      <c r="DV68" s="20">
        <f t="shared" si="90"/>
        <v>77.736582088648461</v>
      </c>
      <c r="DW68" s="20">
        <f t="shared" si="91"/>
        <v>74.79599376005676</v>
      </c>
      <c r="DX68" s="20">
        <f t="shared" si="92"/>
        <v>72.190754998625181</v>
      </c>
      <c r="DY68" s="20">
        <f t="shared" si="93"/>
        <v>69.905606349700449</v>
      </c>
      <c r="DZ68" s="20">
        <f t="shared" si="94"/>
        <v>67.921889231418803</v>
      </c>
      <c r="EA68" s="20">
        <f t="shared" si="95"/>
        <v>66.217765188009523</v>
      </c>
      <c r="EB68" s="20">
        <f t="shared" si="96"/>
        <v>64.768464626894897</v>
      </c>
      <c r="EC68" s="20">
        <f t="shared" si="97"/>
        <v>63.546561916138231</v>
      </c>
      <c r="ED68" s="20">
        <f t="shared" si="98"/>
        <v>62.522273679345751</v>
      </c>
      <c r="EE68" s="20">
        <f t="shared" si="99"/>
        <v>61.663777125514478</v>
      </c>
      <c r="EF68" s="20">
        <f t="shared" si="100"/>
        <v>60.937545280743464</v>
      </c>
      <c r="EG68" s="20">
        <f t="shared" si="101"/>
        <v>60.30869603642234</v>
      </c>
      <c r="EH68" s="18">
        <f t="shared" si="102"/>
        <v>59.741351984263929</v>
      </c>
    </row>
    <row r="69" spans="5:138" x14ac:dyDescent="0.3">
      <c r="E69" s="54"/>
      <c r="F69" s="22">
        <v>0</v>
      </c>
      <c r="G69" s="15">
        <f t="shared" si="10"/>
        <v>300</v>
      </c>
      <c r="H69" s="17">
        <f t="shared" si="11"/>
        <v>287.55731592280466</v>
      </c>
      <c r="I69" s="17">
        <f t="shared" si="12"/>
        <v>275.1789881112411</v>
      </c>
      <c r="J69" s="17">
        <f t="shared" si="13"/>
        <v>262.92862057242809</v>
      </c>
      <c r="K69" s="17">
        <f t="shared" si="14"/>
        <v>250.86832312504328</v>
      </c>
      <c r="L69" s="17">
        <f t="shared" si="15"/>
        <v>239.05798991969306</v>
      </c>
      <c r="M69" s="17">
        <f t="shared" si="16"/>
        <v>227.55460812415362</v>
      </c>
      <c r="N69" s="17">
        <f t="shared" si="17"/>
        <v>216.41160589358745</v>
      </c>
      <c r="O69" s="17">
        <f t="shared" si="18"/>
        <v>205.67824798272488</v>
      </c>
      <c r="P69" s="17">
        <f t="shared" si="19"/>
        <v>195.39908644890826</v>
      </c>
      <c r="Q69" s="17">
        <f t="shared" si="20"/>
        <v>185.61347286944124</v>
      </c>
      <c r="R69" s="17">
        <f t="shared" si="21"/>
        <v>176.35513738430191</v>
      </c>
      <c r="S69" s="17">
        <f t="shared" si="22"/>
        <v>167.6518387079517</v>
      </c>
      <c r="T69" s="17">
        <f t="shared" si="23"/>
        <v>159.52508806398617</v>
      </c>
      <c r="U69" s="17">
        <f t="shared" si="24"/>
        <v>151.9899488150304</v>
      </c>
      <c r="V69" s="17">
        <f t="shared" si="25"/>
        <v>145.05491241676188</v>
      </c>
      <c r="W69" s="17">
        <f t="shared" si="26"/>
        <v>138.72185024525535</v>
      </c>
      <c r="X69" s="17">
        <f t="shared" si="27"/>
        <v>132.98603985299525</v>
      </c>
      <c r="Y69" s="17">
        <f t="shared" si="28"/>
        <v>127.83626331823518</v>
      </c>
      <c r="Z69" s="17">
        <f t="shared" si="29"/>
        <v>123.25497457719486</v>
      </c>
      <c r="AA69" s="17">
        <f t="shared" si="30"/>
        <v>119.21853197592421</v>
      </c>
      <c r="AB69" s="17">
        <f t="shared" si="31"/>
        <v>115.6974917504232</v>
      </c>
      <c r="AC69" s="17">
        <f t="shared" si="32"/>
        <v>112.65695773678323</v>
      </c>
      <c r="AD69" s="17">
        <f t="shared" si="33"/>
        <v>110.05698232030861</v>
      </c>
      <c r="AE69" s="17">
        <f t="shared" si="34"/>
        <v>107.85301344262035</v>
      </c>
      <c r="AF69" s="17">
        <f t="shared" si="35"/>
        <v>105.99638238448571</v>
      </c>
      <c r="AG69" s="17">
        <f t="shared" si="36"/>
        <v>104.43482701328514</v>
      </c>
      <c r="AH69" s="17">
        <f t="shared" si="37"/>
        <v>103.11304521014017</v>
      </c>
      <c r="AI69" s="17">
        <f t="shared" si="120"/>
        <v>101.9732732550159</v>
      </c>
      <c r="AJ69" s="17">
        <f t="shared" si="103"/>
        <v>100.95588403142658</v>
      </c>
      <c r="AK69" s="15">
        <f t="shared" si="39"/>
        <v>100</v>
      </c>
      <c r="AL69" s="52"/>
      <c r="AM69" s="13">
        <v>0</v>
      </c>
      <c r="AN69" s="18">
        <f t="shared" si="40"/>
        <v>-1076400000</v>
      </c>
      <c r="AO69" s="18">
        <f t="shared" si="104"/>
        <v>-1031489214.5913075</v>
      </c>
      <c r="AP69" s="18">
        <f t="shared" si="41"/>
        <v>-986812453.81394577</v>
      </c>
      <c r="AQ69" s="18">
        <f t="shared" si="42"/>
        <v>-942601000.435359</v>
      </c>
      <c r="AR69" s="18">
        <f t="shared" si="43"/>
        <v>-899080691.41063273</v>
      </c>
      <c r="AS69" s="18">
        <f t="shared" si="44"/>
        <v>-856469288.99524236</v>
      </c>
      <c r="AT69" s="18">
        <f t="shared" si="45"/>
        <v>-814973962.55047369</v>
      </c>
      <c r="AU69" s="18">
        <f t="shared" si="46"/>
        <v>-774788914.46261871</v>
      </c>
      <c r="AV69" s="18">
        <f t="shared" si="47"/>
        <v>-736093180.76104712</v>
      </c>
      <c r="AW69" s="18">
        <f t="shared" si="48"/>
        <v>-699048633.64767551</v>
      </c>
      <c r="AX69" s="18">
        <f t="shared" si="49"/>
        <v>-663798209.34503865</v>
      </c>
      <c r="AY69" s="18">
        <f t="shared" si="50"/>
        <v>-630464380.54648817</v>
      </c>
      <c r="AZ69" s="18">
        <f t="shared" si="51"/>
        <v>-599147888.43005836</v>
      </c>
      <c r="BA69" s="18">
        <f t="shared" si="52"/>
        <v>-569926744.79824197</v>
      </c>
      <c r="BB69" s="18">
        <f t="shared" si="53"/>
        <v>-542855510.54648411</v>
      </c>
      <c r="BC69" s="18">
        <f t="shared" si="54"/>
        <v>-517964852.45254695</v>
      </c>
      <c r="BD69" s="18">
        <f t="shared" si="55"/>
        <v>-495261376.31389618</v>
      </c>
      <c r="BE69" s="18">
        <f t="shared" si="56"/>
        <v>-474727730.82249683</v>
      </c>
      <c r="BF69" s="18">
        <f t="shared" si="57"/>
        <v>-456322973.31982821</v>
      </c>
      <c r="BG69" s="18">
        <f t="shared" si="58"/>
        <v>-439983185.76432878</v>
      </c>
      <c r="BH69" s="18">
        <f t="shared" si="59"/>
        <v>-425622326.89392972</v>
      </c>
      <c r="BI69" s="18">
        <f t="shared" si="60"/>
        <v>-413133304.68341386</v>
      </c>
      <c r="BJ69" s="18">
        <f t="shared" si="61"/>
        <v>-402389251.76731378</v>
      </c>
      <c r="BK69" s="18">
        <f t="shared" si="62"/>
        <v>-393244985.49469191</v>
      </c>
      <c r="BL69" s="18">
        <f t="shared" si="63"/>
        <v>-385538633.65917009</v>
      </c>
      <c r="BM69" s="18">
        <f t="shared" si="64"/>
        <v>-379093406.65162772</v>
      </c>
      <c r="BN69" s="18">
        <f t="shared" si="65"/>
        <v>-373719496.751917</v>
      </c>
      <c r="BO69" s="18">
        <f t="shared" si="66"/>
        <v>-369216085.44317728</v>
      </c>
      <c r="BP69" s="18">
        <f t="shared" si="67"/>
        <v>-365373439.93044233</v>
      </c>
      <c r="BQ69" s="18">
        <f t="shared" si="68"/>
        <v>-361975080.4092049</v>
      </c>
      <c r="BR69" s="18">
        <f t="shared" si="69"/>
        <v>-358800000</v>
      </c>
      <c r="BT69" s="52"/>
      <c r="BU69" s="22">
        <v>0</v>
      </c>
      <c r="BV69" s="18">
        <v>0</v>
      </c>
      <c r="BW69" s="18">
        <f t="shared" ref="BW69:CY69" si="134">$B$20/($B$21-$B$22*BV69)</f>
        <v>0.34883720930232553</v>
      </c>
      <c r="BX69" s="18">
        <f t="shared" si="134"/>
        <v>0.39716748768472904</v>
      </c>
      <c r="BY69" s="18">
        <f t="shared" si="134"/>
        <v>0.40494040593779607</v>
      </c>
      <c r="BZ69" s="18">
        <f t="shared" si="134"/>
        <v>0.4062190081621499</v>
      </c>
      <c r="CA69" s="18">
        <f t="shared" si="134"/>
        <v>0.40643010492156101</v>
      </c>
      <c r="CB69" s="18">
        <f t="shared" si="134"/>
        <v>0.40646497802255066</v>
      </c>
      <c r="CC69" s="18">
        <f t="shared" si="134"/>
        <v>0.40647073962099717</v>
      </c>
      <c r="CD69" s="18">
        <f t="shared" si="134"/>
        <v>0.40647169154566137</v>
      </c>
      <c r="CE69" s="18">
        <f t="shared" si="134"/>
        <v>0.40647184882198806</v>
      </c>
      <c r="CF69" s="18">
        <f t="shared" si="134"/>
        <v>0.40647187480708435</v>
      </c>
      <c r="CG69" s="18">
        <f t="shared" si="134"/>
        <v>0.40647187910032606</v>
      </c>
      <c r="CH69" s="18">
        <f t="shared" si="134"/>
        <v>0.40647187980965277</v>
      </c>
      <c r="CI69" s="18">
        <f t="shared" si="134"/>
        <v>0.4064718799268473</v>
      </c>
      <c r="CJ69" s="18">
        <f t="shared" si="134"/>
        <v>0.40647187994621015</v>
      </c>
      <c r="CK69" s="18">
        <f t="shared" si="134"/>
        <v>0.40647187994940925</v>
      </c>
      <c r="CL69" s="18">
        <f t="shared" si="134"/>
        <v>0.40647187994993778</v>
      </c>
      <c r="CM69" s="18">
        <f t="shared" si="134"/>
        <v>0.40647187995002515</v>
      </c>
      <c r="CN69" s="18">
        <f t="shared" si="134"/>
        <v>0.40647187995003953</v>
      </c>
      <c r="CO69" s="18">
        <f t="shared" si="134"/>
        <v>0.40647187995004191</v>
      </c>
      <c r="CP69" s="18">
        <f t="shared" si="134"/>
        <v>0.40647187995004236</v>
      </c>
      <c r="CQ69" s="18">
        <f t="shared" si="134"/>
        <v>0.40647187995004236</v>
      </c>
      <c r="CR69" s="18">
        <f t="shared" si="134"/>
        <v>0.40647187995004236</v>
      </c>
      <c r="CS69" s="18">
        <f t="shared" si="134"/>
        <v>0.40647187995004236</v>
      </c>
      <c r="CT69" s="18">
        <f t="shared" si="134"/>
        <v>0.40647187995004236</v>
      </c>
      <c r="CU69" s="18">
        <f t="shared" si="134"/>
        <v>0.40647187995004236</v>
      </c>
      <c r="CV69" s="18">
        <f t="shared" si="134"/>
        <v>0.40647187995004236</v>
      </c>
      <c r="CW69" s="18">
        <f t="shared" si="134"/>
        <v>0.40647187995004236</v>
      </c>
      <c r="CX69" s="18">
        <f t="shared" si="134"/>
        <v>0.40647187995004236</v>
      </c>
      <c r="CY69" s="18">
        <f t="shared" si="134"/>
        <v>0.40647187995004236</v>
      </c>
      <c r="CZ69" s="12">
        <f t="shared" si="71"/>
        <v>100</v>
      </c>
      <c r="DB69" s="52"/>
      <c r="DC69" s="22">
        <v>0</v>
      </c>
      <c r="DD69" s="18">
        <f t="shared" si="72"/>
        <v>300</v>
      </c>
      <c r="DE69" s="18">
        <f t="shared" si="73"/>
        <v>191.56464565144148</v>
      </c>
      <c r="DF69" s="18">
        <f t="shared" si="74"/>
        <v>170.75228843807847</v>
      </c>
      <c r="DG69" s="18">
        <f t="shared" si="75"/>
        <v>161.34189996923885</v>
      </c>
      <c r="DH69" s="18">
        <f t="shared" si="76"/>
        <v>153.75842356662835</v>
      </c>
      <c r="DI69" s="18">
        <f t="shared" si="77"/>
        <v>146.57294666440862</v>
      </c>
      <c r="DJ69" s="18">
        <f t="shared" si="78"/>
        <v>139.5908694907917</v>
      </c>
      <c r="DK69" s="18">
        <f t="shared" si="79"/>
        <v>132.80941631209839</v>
      </c>
      <c r="DL69" s="18">
        <f t="shared" si="80"/>
        <v>126.25405078736023</v>
      </c>
      <c r="DM69" s="18">
        <f t="shared" si="81"/>
        <v>119.95243496539656</v>
      </c>
      <c r="DN69" s="18">
        <f t="shared" si="82"/>
        <v>113.93006954498313</v>
      </c>
      <c r="DO69" s="18">
        <f t="shared" si="83"/>
        <v>108.20937947005601</v>
      </c>
      <c r="DP69" s="18">
        <f t="shared" si="84"/>
        <v>102.80937628578285</v>
      </c>
      <c r="DQ69" s="18">
        <f t="shared" si="85"/>
        <v>97.74544783915546</v>
      </c>
      <c r="DR69" s="18">
        <f t="shared" si="86"/>
        <v>93.02920586955635</v>
      </c>
      <c r="DS69" s="18">
        <f t="shared" si="87"/>
        <v>88.668381157512513</v>
      </c>
      <c r="DT69" s="18">
        <f t="shared" si="88"/>
        <v>84.666764619111021</v>
      </c>
      <c r="DU69" s="18">
        <f t="shared" si="89"/>
        <v>81.02419357624575</v>
      </c>
      <c r="DV69" s="18">
        <f t="shared" si="90"/>
        <v>77.736582088648461</v>
      </c>
      <c r="DW69" s="18">
        <f t="shared" si="91"/>
        <v>74.79599376005676</v>
      </c>
      <c r="DX69" s="18">
        <f t="shared" si="92"/>
        <v>72.190754998625181</v>
      </c>
      <c r="DY69" s="18">
        <f t="shared" si="93"/>
        <v>69.905606349700449</v>
      </c>
      <c r="DZ69" s="18">
        <f t="shared" si="94"/>
        <v>67.921889231418803</v>
      </c>
      <c r="EA69" s="18">
        <f t="shared" si="95"/>
        <v>66.217765188009523</v>
      </c>
      <c r="EB69" s="18">
        <f t="shared" si="96"/>
        <v>64.768464626894897</v>
      </c>
      <c r="EC69" s="18">
        <f t="shared" si="97"/>
        <v>63.546561916138231</v>
      </c>
      <c r="ED69" s="18">
        <f t="shared" si="98"/>
        <v>62.522273679345751</v>
      </c>
      <c r="EE69" s="18">
        <f t="shared" si="99"/>
        <v>61.663777125514478</v>
      </c>
      <c r="EF69" s="18">
        <f t="shared" si="100"/>
        <v>60.937545280743464</v>
      </c>
      <c r="EG69" s="18">
        <f t="shared" si="101"/>
        <v>60.30869603642234</v>
      </c>
      <c r="EH69" s="18">
        <f t="shared" si="102"/>
        <v>59.741351984263929</v>
      </c>
    </row>
    <row r="70" spans="5:138" x14ac:dyDescent="0.3">
      <c r="AM70" s="9"/>
    </row>
    <row r="71" spans="5:138" x14ac:dyDescent="0.3">
      <c r="AM71" s="9"/>
    </row>
    <row r="72" spans="5:138" x14ac:dyDescent="0.3">
      <c r="AM72" s="9"/>
    </row>
    <row r="73" spans="5:138" x14ac:dyDescent="0.3">
      <c r="E73" s="53" t="s">
        <v>40</v>
      </c>
      <c r="F73" s="21" t="s">
        <v>35</v>
      </c>
      <c r="G73" s="21">
        <v>0</v>
      </c>
      <c r="H73" s="22">
        <v>3.3333333333333335E-3</v>
      </c>
      <c r="I73" s="22">
        <v>6.6666666666666671E-3</v>
      </c>
      <c r="J73" s="22">
        <v>0.01</v>
      </c>
      <c r="K73" s="22">
        <v>1.3333333333333334E-2</v>
      </c>
      <c r="L73" s="22">
        <v>1.6666666666666666E-2</v>
      </c>
      <c r="M73" s="22">
        <v>0.02</v>
      </c>
      <c r="N73" s="22">
        <v>2.3333333333333334E-2</v>
      </c>
      <c r="O73" s="22">
        <v>2.6666666666666668E-2</v>
      </c>
      <c r="P73" s="22">
        <v>3.0000000000000002E-2</v>
      </c>
      <c r="Q73" s="22">
        <v>3.3333333333333333E-2</v>
      </c>
      <c r="R73" s="22">
        <v>3.6666666666666667E-2</v>
      </c>
      <c r="S73" s="22">
        <v>0.04</v>
      </c>
      <c r="T73" s="22">
        <v>4.3333333333333335E-2</v>
      </c>
      <c r="U73" s="22">
        <v>4.6666666666666669E-2</v>
      </c>
      <c r="V73" s="22">
        <v>0.05</v>
      </c>
      <c r="W73" s="22">
        <v>5.3333333333333337E-2</v>
      </c>
      <c r="X73" s="22">
        <v>5.6666666666666671E-2</v>
      </c>
      <c r="Y73" s="22">
        <v>6.0000000000000005E-2</v>
      </c>
      <c r="Z73" s="22">
        <v>6.3333333333333339E-2</v>
      </c>
      <c r="AA73" s="22">
        <v>6.6666666666666666E-2</v>
      </c>
      <c r="AB73" s="22">
        <v>7.0000000000000007E-2</v>
      </c>
      <c r="AC73" s="22">
        <v>7.3333333333333334E-2</v>
      </c>
      <c r="AD73" s="22">
        <v>7.6666666666666675E-2</v>
      </c>
      <c r="AE73" s="22">
        <v>0.08</v>
      </c>
      <c r="AF73" s="22">
        <v>8.3333333333333343E-2</v>
      </c>
      <c r="AG73" s="22">
        <v>8.666666666666667E-2</v>
      </c>
      <c r="AH73" s="22">
        <v>9.0000000000000011E-2</v>
      </c>
      <c r="AI73" s="22">
        <v>9.3333333333333338E-2</v>
      </c>
      <c r="AJ73" s="22">
        <v>9.6666666666666679E-2</v>
      </c>
      <c r="AK73" s="22">
        <v>0.1</v>
      </c>
      <c r="AL73" s="55" t="s">
        <v>41</v>
      </c>
      <c r="AM73" s="21" t="s">
        <v>35</v>
      </c>
      <c r="AN73" s="21">
        <v>0</v>
      </c>
      <c r="AO73" s="22">
        <v>3.3333333333333335E-3</v>
      </c>
      <c r="AP73" s="22">
        <v>6.6666666666666671E-3</v>
      </c>
      <c r="AQ73" s="22">
        <v>0.01</v>
      </c>
      <c r="AR73" s="22">
        <v>1.3333333333333334E-2</v>
      </c>
      <c r="AS73" s="22">
        <v>1.6666666666666666E-2</v>
      </c>
      <c r="AT73" s="22">
        <v>0.02</v>
      </c>
      <c r="AU73" s="22">
        <v>2.3333333333333334E-2</v>
      </c>
      <c r="AV73" s="22">
        <v>2.6666666666666668E-2</v>
      </c>
      <c r="AW73" s="22">
        <v>3.0000000000000002E-2</v>
      </c>
      <c r="AX73" s="22">
        <v>3.3333333333333333E-2</v>
      </c>
      <c r="AY73" s="22">
        <v>3.6666666666666667E-2</v>
      </c>
      <c r="AZ73" s="22">
        <v>0.04</v>
      </c>
      <c r="BA73" s="22">
        <v>4.3333333333333335E-2</v>
      </c>
      <c r="BB73" s="22">
        <v>4.6666666666666669E-2</v>
      </c>
      <c r="BC73" s="22">
        <v>0.05</v>
      </c>
      <c r="BD73" s="22">
        <v>5.3333333333333337E-2</v>
      </c>
      <c r="BE73" s="22">
        <v>5.6666666666666671E-2</v>
      </c>
      <c r="BF73" s="22">
        <v>6.0000000000000005E-2</v>
      </c>
      <c r="BG73" s="22">
        <v>6.3333333333333339E-2</v>
      </c>
      <c r="BH73" s="22">
        <v>6.6666666666666666E-2</v>
      </c>
      <c r="BI73" s="22">
        <v>7.0000000000000007E-2</v>
      </c>
      <c r="BJ73" s="22">
        <v>7.3333333333333334E-2</v>
      </c>
      <c r="BK73" s="22">
        <v>7.6666666666666675E-2</v>
      </c>
      <c r="BL73" s="22">
        <v>0.08</v>
      </c>
      <c r="BM73" s="22">
        <v>8.3333333333333343E-2</v>
      </c>
      <c r="BN73" s="22">
        <v>8.666666666666667E-2</v>
      </c>
      <c r="BO73" s="22">
        <v>9.0000000000000011E-2</v>
      </c>
      <c r="BP73" s="22">
        <v>9.3333333333333338E-2</v>
      </c>
      <c r="BQ73" s="22">
        <v>9.6666666666666679E-2</v>
      </c>
      <c r="BR73" s="22">
        <v>0.1</v>
      </c>
      <c r="BT73" s="56" t="s">
        <v>42</v>
      </c>
      <c r="BU73" s="21" t="s">
        <v>35</v>
      </c>
      <c r="BV73" s="21">
        <v>0</v>
      </c>
      <c r="BW73" s="22">
        <v>3.3333333333333335E-3</v>
      </c>
      <c r="BX73" s="22">
        <v>6.6666666666666671E-3</v>
      </c>
      <c r="BY73" s="22">
        <v>0.01</v>
      </c>
      <c r="BZ73" s="22">
        <v>1.3333333333333334E-2</v>
      </c>
      <c r="CA73" s="22">
        <v>1.6666666666666666E-2</v>
      </c>
      <c r="CB73" s="22">
        <v>0.02</v>
      </c>
      <c r="CC73" s="22">
        <v>2.3333333333333334E-2</v>
      </c>
      <c r="CD73" s="22">
        <v>2.6666666666666668E-2</v>
      </c>
      <c r="CE73" s="22">
        <v>3.0000000000000002E-2</v>
      </c>
      <c r="CF73" s="22">
        <v>3.3333333333333333E-2</v>
      </c>
      <c r="CG73" s="22">
        <v>3.6666666666666667E-2</v>
      </c>
      <c r="CH73" s="22">
        <v>0.04</v>
      </c>
      <c r="CI73" s="22">
        <v>4.3333333333333335E-2</v>
      </c>
      <c r="CJ73" s="22">
        <v>4.6666666666666669E-2</v>
      </c>
      <c r="CK73" s="22">
        <v>0.05</v>
      </c>
      <c r="CL73" s="22">
        <v>5.3333333333333337E-2</v>
      </c>
      <c r="CM73" s="22">
        <v>5.6666666666666671E-2</v>
      </c>
      <c r="CN73" s="22">
        <v>6.0000000000000005E-2</v>
      </c>
      <c r="CO73" s="22">
        <v>6.3333333333333339E-2</v>
      </c>
      <c r="CP73" s="22">
        <v>6.6666666666666666E-2</v>
      </c>
      <c r="CQ73" s="22">
        <v>7.0000000000000007E-2</v>
      </c>
      <c r="CR73" s="22">
        <v>7.3333333333333334E-2</v>
      </c>
      <c r="CS73" s="22">
        <v>7.6666666666666675E-2</v>
      </c>
      <c r="CT73" s="22">
        <v>0.08</v>
      </c>
      <c r="CU73" s="22">
        <v>8.3333333333333343E-2</v>
      </c>
      <c r="CV73" s="22">
        <v>8.666666666666667E-2</v>
      </c>
      <c r="CW73" s="22">
        <v>9.0000000000000011E-2</v>
      </c>
      <c r="CX73" s="22">
        <v>9.3333333333333338E-2</v>
      </c>
      <c r="CY73" s="22">
        <v>9.6666666666666679E-2</v>
      </c>
      <c r="CZ73" s="22">
        <v>0.1</v>
      </c>
      <c r="DB73" s="56" t="s">
        <v>43</v>
      </c>
      <c r="DC73" s="21" t="s">
        <v>35</v>
      </c>
      <c r="DD73" s="21">
        <v>0</v>
      </c>
      <c r="DE73" s="22">
        <v>3.3333333333333335E-3</v>
      </c>
      <c r="DF73" s="22">
        <v>6.6666666666666671E-3</v>
      </c>
      <c r="DG73" s="22">
        <v>0.01</v>
      </c>
      <c r="DH73" s="22">
        <v>1.3333333333333334E-2</v>
      </c>
      <c r="DI73" s="22">
        <v>1.6666666666666666E-2</v>
      </c>
      <c r="DJ73" s="22">
        <v>0.02</v>
      </c>
      <c r="DK73" s="22">
        <v>2.3333333333333334E-2</v>
      </c>
      <c r="DL73" s="22">
        <v>2.6666666666666668E-2</v>
      </c>
      <c r="DM73" s="22">
        <v>3.0000000000000002E-2</v>
      </c>
      <c r="DN73" s="22">
        <v>3.3333333333333333E-2</v>
      </c>
      <c r="DO73" s="22">
        <v>3.6666666666666667E-2</v>
      </c>
      <c r="DP73" s="22">
        <v>0.04</v>
      </c>
      <c r="DQ73" s="22">
        <v>4.3333333333333335E-2</v>
      </c>
      <c r="DR73" s="22">
        <v>4.6666666666666669E-2</v>
      </c>
      <c r="DS73" s="22">
        <v>0.05</v>
      </c>
      <c r="DT73" s="22">
        <v>5.3333333333333337E-2</v>
      </c>
      <c r="DU73" s="22">
        <v>5.6666666666666671E-2</v>
      </c>
      <c r="DV73" s="22">
        <v>6.0000000000000005E-2</v>
      </c>
      <c r="DW73" s="22">
        <v>6.3333333333333339E-2</v>
      </c>
      <c r="DX73" s="22">
        <v>6.6666666666666666E-2</v>
      </c>
      <c r="DY73" s="22">
        <v>7.0000000000000007E-2</v>
      </c>
      <c r="DZ73" s="22">
        <v>7.3333333333333334E-2</v>
      </c>
      <c r="EA73" s="22">
        <v>7.6666666666666675E-2</v>
      </c>
      <c r="EB73" s="22">
        <v>0.08</v>
      </c>
      <c r="EC73" s="22">
        <v>8.3333333333333343E-2</v>
      </c>
      <c r="ED73" s="22">
        <v>8.666666666666667E-2</v>
      </c>
      <c r="EE73" s="22">
        <v>9.0000000000000011E-2</v>
      </c>
      <c r="EF73" s="22">
        <v>9.3333333333333338E-2</v>
      </c>
      <c r="EG73" s="22">
        <v>9.6666666666666679E-2</v>
      </c>
      <c r="EH73" s="22">
        <v>0.1</v>
      </c>
    </row>
    <row r="74" spans="5:138" x14ac:dyDescent="0.3">
      <c r="E74" s="54"/>
      <c r="F74" s="22">
        <v>0.1</v>
      </c>
      <c r="G74" s="31">
        <f>$B$16</f>
        <v>300</v>
      </c>
      <c r="H74" s="31">
        <f t="shared" ref="H74:AI74" si="135">DE75/(1-BW75)</f>
        <v>287.55731592280472</v>
      </c>
      <c r="I74" s="31">
        <f t="shared" si="135"/>
        <v>275.17898811124115</v>
      </c>
      <c r="J74" s="31">
        <f t="shared" si="135"/>
        <v>262.92862057242809</v>
      </c>
      <c r="K74" s="31">
        <f t="shared" si="135"/>
        <v>250.86832312504336</v>
      </c>
      <c r="L74" s="31">
        <f t="shared" si="135"/>
        <v>239.05798991969311</v>
      </c>
      <c r="M74" s="31">
        <f t="shared" si="135"/>
        <v>227.5546081241537</v>
      </c>
      <c r="N74" s="31">
        <f t="shared" si="135"/>
        <v>216.41160589358751</v>
      </c>
      <c r="O74" s="31">
        <f t="shared" si="135"/>
        <v>205.67824798272497</v>
      </c>
      <c r="P74" s="31">
        <f t="shared" si="135"/>
        <v>195.39908644890835</v>
      </c>
      <c r="Q74" s="31">
        <f t="shared" si="135"/>
        <v>185.61347286944132</v>
      </c>
      <c r="R74" s="31">
        <f t="shared" si="135"/>
        <v>176.35513738430194</v>
      </c>
      <c r="S74" s="31">
        <f t="shared" si="135"/>
        <v>167.65183870795173</v>
      </c>
      <c r="T74" s="31">
        <f t="shared" si="135"/>
        <v>159.5250880639862</v>
      </c>
      <c r="U74" s="31">
        <f t="shared" si="135"/>
        <v>151.98994881503043</v>
      </c>
      <c r="V74" s="31">
        <f t="shared" si="135"/>
        <v>145.05491241676191</v>
      </c>
      <c r="W74" s="31">
        <f t="shared" si="135"/>
        <v>138.72185024525535</v>
      </c>
      <c r="X74" s="31">
        <f t="shared" si="135"/>
        <v>132.98603985299525</v>
      </c>
      <c r="Y74" s="31">
        <f t="shared" si="135"/>
        <v>127.83626331823517</v>
      </c>
      <c r="Z74" s="31">
        <f t="shared" si="135"/>
        <v>123.25497457719483</v>
      </c>
      <c r="AA74" s="31">
        <f t="shared" si="135"/>
        <v>119.21853197592421</v>
      </c>
      <c r="AB74" s="31">
        <f t="shared" si="135"/>
        <v>115.69749175042315</v>
      </c>
      <c r="AC74" s="31">
        <f t="shared" si="135"/>
        <v>112.65695773678321</v>
      </c>
      <c r="AD74" s="31">
        <f t="shared" si="135"/>
        <v>110.05698232030862</v>
      </c>
      <c r="AE74" s="31">
        <f t="shared" si="135"/>
        <v>107.85301344262039</v>
      </c>
      <c r="AF74" s="31">
        <f t="shared" si="135"/>
        <v>105.99638238448573</v>
      </c>
      <c r="AG74" s="31">
        <f t="shared" si="135"/>
        <v>104.43482701328514</v>
      </c>
      <c r="AH74" s="31">
        <f t="shared" si="135"/>
        <v>103.11304521014017</v>
      </c>
      <c r="AI74" s="31">
        <f t="shared" si="135"/>
        <v>101.97327325501588</v>
      </c>
      <c r="AJ74" s="31">
        <f>EG75/(1-CY75)</f>
        <v>100.95588403142658</v>
      </c>
      <c r="AK74" s="31">
        <f>$B$17</f>
        <v>100</v>
      </c>
      <c r="AL74" s="55"/>
      <c r="AM74" s="22">
        <v>0.1</v>
      </c>
      <c r="AN74" s="18">
        <f>-($B$12*$B$11)/$B$8*G39</f>
        <v>-1076400000</v>
      </c>
      <c r="AO74" s="18">
        <f t="shared" ref="AO74:BR74" si="136">-($B$12*$B$11)/$B$8*H39</f>
        <v>-1031755649.5310231</v>
      </c>
      <c r="AP74" s="18">
        <f t="shared" si="136"/>
        <v>-987342209.34313321</v>
      </c>
      <c r="AQ74" s="18">
        <f t="shared" si="136"/>
        <v>-943387890.61387217</v>
      </c>
      <c r="AR74" s="18">
        <f t="shared" si="136"/>
        <v>-900115543.37265563</v>
      </c>
      <c r="AS74" s="18">
        <f t="shared" si="136"/>
        <v>-857740067.83185887</v>
      </c>
      <c r="AT74" s="18">
        <f t="shared" si="136"/>
        <v>-816465933.94946337</v>
      </c>
      <c r="AU74" s="18">
        <f t="shared" si="136"/>
        <v>-776484841.94619203</v>
      </c>
      <c r="AV74" s="18">
        <f t="shared" si="136"/>
        <v>-737973553.76201725</v>
      </c>
      <c r="AW74" s="18">
        <f t="shared" si="136"/>
        <v>-701091922.17868316</v>
      </c>
      <c r="AX74" s="18">
        <f t="shared" si="136"/>
        <v>-665981140.65555549</v>
      </c>
      <c r="AY74" s="18">
        <f t="shared" si="136"/>
        <v>-632762232.93487549</v>
      </c>
      <c r="AZ74" s="18">
        <f t="shared" si="136"/>
        <v>-601534797.28413081</v>
      </c>
      <c r="BA74" s="18">
        <f t="shared" si="136"/>
        <v>-572376015.97358239</v>
      </c>
      <c r="BB74" s="18">
        <f t="shared" si="136"/>
        <v>-545339936.34832907</v>
      </c>
      <c r="BC74" s="18">
        <f t="shared" si="136"/>
        <v>-520457025.75134164</v>
      </c>
      <c r="BD74" s="18">
        <f t="shared" si="136"/>
        <v>-497733998.67997622</v>
      </c>
      <c r="BE74" s="18">
        <f t="shared" si="136"/>
        <v>-477153910.99254698</v>
      </c>
      <c r="BF74" s="18">
        <f t="shared" si="136"/>
        <v>-458676512.78582782</v>
      </c>
      <c r="BG74" s="18">
        <f t="shared" si="136"/>
        <v>-442238848.78297508</v>
      </c>
      <c r="BH74" s="18">
        <f t="shared" si="136"/>
        <v>-427756092.72961599</v>
      </c>
      <c r="BI74" s="18">
        <f t="shared" si="136"/>
        <v>-415122600.40051836</v>
      </c>
      <c r="BJ74" s="18">
        <f t="shared" si="136"/>
        <v>-404213164.35957813</v>
      </c>
      <c r="BK74" s="18">
        <f t="shared" si="136"/>
        <v>-394884452.56526726</v>
      </c>
      <c r="BL74" s="18">
        <f t="shared" si="136"/>
        <v>-386976612.23212183</v>
      </c>
      <c r="BM74" s="18">
        <f t="shared" si="136"/>
        <v>-380315019.99553472</v>
      </c>
      <c r="BN74" s="18">
        <f t="shared" si="136"/>
        <v>-374712159.32366711</v>
      </c>
      <c r="BO74" s="18">
        <f t="shared" si="136"/>
        <v>-369969606.21398294</v>
      </c>
      <c r="BP74" s="18">
        <f t="shared" si="136"/>
        <v>-365880104.43899703</v>
      </c>
      <c r="BQ74" s="18">
        <f t="shared" si="136"/>
        <v>-362229711.90475857</v>
      </c>
      <c r="BR74" s="18">
        <f t="shared" si="136"/>
        <v>-358800000</v>
      </c>
      <c r="BT74" s="52"/>
      <c r="BU74" s="22">
        <v>0.1</v>
      </c>
      <c r="BV74" s="18">
        <f>$B$20/($B$21-$B$22*BV75)</f>
        <v>0.40647187995004247</v>
      </c>
      <c r="BW74" s="18">
        <f>$B$20/($B$21-$B$22*BW75)</f>
        <v>0.40647187995004247</v>
      </c>
      <c r="BX74" s="18">
        <f t="shared" ref="BX74:CZ74" si="137">$B$20/($B$21-$B$22*BX75)</f>
        <v>0.40647187995004247</v>
      </c>
      <c r="BY74" s="18">
        <f t="shared" si="137"/>
        <v>0.40647187995004247</v>
      </c>
      <c r="BZ74" s="18">
        <f t="shared" si="137"/>
        <v>0.40647187995004247</v>
      </c>
      <c r="CA74" s="18">
        <f t="shared" si="137"/>
        <v>0.40647187995004247</v>
      </c>
      <c r="CB74" s="18">
        <f t="shared" si="137"/>
        <v>0.40647187995004247</v>
      </c>
      <c r="CC74" s="18">
        <f t="shared" si="137"/>
        <v>0.40647187995004247</v>
      </c>
      <c r="CD74" s="18">
        <f t="shared" si="137"/>
        <v>0.40647187995004247</v>
      </c>
      <c r="CE74" s="18">
        <f t="shared" si="137"/>
        <v>0.40647187995004247</v>
      </c>
      <c r="CF74" s="18">
        <f t="shared" si="137"/>
        <v>0.40647187995004247</v>
      </c>
      <c r="CG74" s="18">
        <f t="shared" si="137"/>
        <v>0.40647187995004247</v>
      </c>
      <c r="CH74" s="18">
        <f t="shared" si="137"/>
        <v>0.40647187995004247</v>
      </c>
      <c r="CI74" s="18">
        <f t="shared" si="137"/>
        <v>0.40647187995004247</v>
      </c>
      <c r="CJ74" s="18">
        <f t="shared" si="137"/>
        <v>0.40647187995004247</v>
      </c>
      <c r="CK74" s="18">
        <f t="shared" si="137"/>
        <v>0.40647187995004247</v>
      </c>
      <c r="CL74" s="18">
        <f t="shared" si="137"/>
        <v>0.40647187995004247</v>
      </c>
      <c r="CM74" s="18">
        <f t="shared" si="137"/>
        <v>0.40647187995004247</v>
      </c>
      <c r="CN74" s="18">
        <f t="shared" si="137"/>
        <v>0.40647187995004247</v>
      </c>
      <c r="CO74" s="18">
        <f t="shared" si="137"/>
        <v>0.40647187995004247</v>
      </c>
      <c r="CP74" s="18">
        <f t="shared" si="137"/>
        <v>0.40647187995004247</v>
      </c>
      <c r="CQ74" s="18">
        <f t="shared" si="137"/>
        <v>0.40647187995004247</v>
      </c>
      <c r="CR74" s="18">
        <f t="shared" si="137"/>
        <v>0.40647187995004247</v>
      </c>
      <c r="CS74" s="18">
        <f t="shared" si="137"/>
        <v>0.40647187995004247</v>
      </c>
      <c r="CT74" s="18">
        <f t="shared" si="137"/>
        <v>0.40647187995004247</v>
      </c>
      <c r="CU74" s="18">
        <f t="shared" si="137"/>
        <v>0.40647187995004247</v>
      </c>
      <c r="CV74" s="18">
        <f t="shared" si="137"/>
        <v>0.40647187995004247</v>
      </c>
      <c r="CW74" s="18">
        <f t="shared" si="137"/>
        <v>0.40647187995004247</v>
      </c>
      <c r="CX74" s="18">
        <f t="shared" si="137"/>
        <v>0.40647187995004247</v>
      </c>
      <c r="CY74" s="18">
        <f t="shared" si="137"/>
        <v>0.40647187995004247</v>
      </c>
      <c r="CZ74" s="18">
        <f t="shared" si="137"/>
        <v>0.40647187995004247</v>
      </c>
      <c r="DB74" s="52"/>
      <c r="DC74" s="22">
        <v>0.1</v>
      </c>
      <c r="DD74" s="18">
        <f>(DD75*$B$22-AN74)/($B$21-$B$22*BV75)</f>
        <v>178.05843601498725</v>
      </c>
      <c r="DE74" s="18">
        <f t="shared" ref="DE74:EH74" si="138">(DE75*$B$22-AO74)/($B$21-$B$22*BW75)</f>
        <v>170.67335312627401</v>
      </c>
      <c r="DF74" s="18">
        <f t="shared" si="138"/>
        <v>163.32646749091458</v>
      </c>
      <c r="DG74" s="18">
        <f t="shared" si="138"/>
        <v>156.05552987568186</v>
      </c>
      <c r="DH74" s="18">
        <f t="shared" si="138"/>
        <v>148.89740420449229</v>
      </c>
      <c r="DI74" s="18">
        <f t="shared" si="138"/>
        <v>141.88763933995716</v>
      </c>
      <c r="DJ74" s="18">
        <f t="shared" si="138"/>
        <v>135.06005876863375</v>
      </c>
      <c r="DK74" s="18">
        <f t="shared" si="138"/>
        <v>128.44637360301331</v>
      </c>
      <c r="DL74" s="18">
        <f t="shared" si="138"/>
        <v>122.07582386035573</v>
      </c>
      <c r="DM74" s="18">
        <f t="shared" si="138"/>
        <v>115.97485243949971</v>
      </c>
      <c r="DN74" s="18">
        <f t="shared" si="138"/>
        <v>110.16681560814332</v>
      </c>
      <c r="DO74" s="18">
        <f t="shared" si="138"/>
        <v>104.67173315285673</v>
      </c>
      <c r="DP74" s="18">
        <f t="shared" si="138"/>
        <v>99.506080651249306</v>
      </c>
      <c r="DQ74" s="18">
        <f t="shared" si="138"/>
        <v>94.682625619421657</v>
      </c>
      <c r="DR74" s="18">
        <f t="shared" si="138"/>
        <v>90.210308586674287</v>
      </c>
      <c r="DS74" s="18">
        <f t="shared" si="138"/>
        <v>86.094169470731941</v>
      </c>
      <c r="DT74" s="18">
        <f t="shared" si="138"/>
        <v>82.33531898591815</v>
      </c>
      <c r="DU74" s="18">
        <f t="shared" si="138"/>
        <v>78.930954226837002</v>
      </c>
      <c r="DV74" s="18">
        <f t="shared" si="138"/>
        <v>75.874417041483468</v>
      </c>
      <c r="DW74" s="18">
        <f t="shared" si="138"/>
        <v>73.155293347607767</v>
      </c>
      <c r="DX74" s="18">
        <f t="shared" si="138"/>
        <v>70.759551158786053</v>
      </c>
      <c r="DY74" s="18">
        <f t="shared" si="138"/>
        <v>68.669714773124127</v>
      </c>
      <c r="DZ74" s="18">
        <f t="shared" si="138"/>
        <v>66.865072336060464</v>
      </c>
      <c r="EA74" s="18">
        <f t="shared" si="138"/>
        <v>65.321913814944196</v>
      </c>
      <c r="EB74" s="18">
        <f t="shared" si="138"/>
        <v>64.013796310321268</v>
      </c>
      <c r="EC74" s="18">
        <f t="shared" si="138"/>
        <v>62.911833568760251</v>
      </c>
      <c r="ED74" s="18">
        <f t="shared" si="138"/>
        <v>61.985006544937661</v>
      </c>
      <c r="EE74" s="18">
        <f t="shared" si="138"/>
        <v>61.200491876200779</v>
      </c>
      <c r="EF74" s="18">
        <f t="shared" si="138"/>
        <v>60.524005170390197</v>
      </c>
      <c r="EG74" s="18">
        <f t="shared" si="138"/>
        <v>59.920156057154152</v>
      </c>
      <c r="EH74" s="18">
        <f t="shared" si="138"/>
        <v>59.352812004995762</v>
      </c>
    </row>
    <row r="75" spans="5:138" x14ac:dyDescent="0.3">
      <c r="E75" s="54"/>
      <c r="F75" s="22">
        <v>9.6666666666666679E-2</v>
      </c>
      <c r="G75" s="31">
        <f t="shared" ref="G75:G104" si="139">$B$16</f>
        <v>300</v>
      </c>
      <c r="H75" s="32">
        <f>BW75*H74+DE75</f>
        <v>287.55731592280472</v>
      </c>
      <c r="I75" s="32">
        <f t="shared" ref="I75:AJ75" si="140">BX75*I74+DF75</f>
        <v>275.17898811124115</v>
      </c>
      <c r="J75" s="32">
        <f t="shared" si="140"/>
        <v>262.92862057242814</v>
      </c>
      <c r="K75" s="32">
        <f t="shared" si="140"/>
        <v>250.86832312504339</v>
      </c>
      <c r="L75" s="32">
        <f t="shared" si="140"/>
        <v>239.05798991969311</v>
      </c>
      <c r="M75" s="32">
        <f t="shared" si="140"/>
        <v>227.55460812415373</v>
      </c>
      <c r="N75" s="32">
        <f t="shared" si="140"/>
        <v>216.41160589358753</v>
      </c>
      <c r="O75" s="32">
        <f t="shared" si="140"/>
        <v>205.67824798272497</v>
      </c>
      <c r="P75" s="32">
        <f t="shared" si="140"/>
        <v>195.39908644890835</v>
      </c>
      <c r="Q75" s="32">
        <f t="shared" si="140"/>
        <v>185.61347286944135</v>
      </c>
      <c r="R75" s="32">
        <f t="shared" si="140"/>
        <v>176.35513738430194</v>
      </c>
      <c r="S75" s="32">
        <f t="shared" si="140"/>
        <v>167.65183870795175</v>
      </c>
      <c r="T75" s="32">
        <f t="shared" si="140"/>
        <v>159.5250880639862</v>
      </c>
      <c r="U75" s="32">
        <f t="shared" si="140"/>
        <v>151.98994881503043</v>
      </c>
      <c r="V75" s="32">
        <f t="shared" si="140"/>
        <v>145.05491241676191</v>
      </c>
      <c r="W75" s="32">
        <f t="shared" si="140"/>
        <v>138.72185024525535</v>
      </c>
      <c r="X75" s="32">
        <f t="shared" si="140"/>
        <v>132.98603985299525</v>
      </c>
      <c r="Y75" s="32">
        <f t="shared" si="140"/>
        <v>127.83626331823517</v>
      </c>
      <c r="Z75" s="32">
        <f t="shared" si="140"/>
        <v>123.25497457719484</v>
      </c>
      <c r="AA75" s="32">
        <f t="shared" si="140"/>
        <v>119.21853197592421</v>
      </c>
      <c r="AB75" s="32">
        <f t="shared" si="140"/>
        <v>115.69749175042315</v>
      </c>
      <c r="AC75" s="32">
        <f t="shared" si="140"/>
        <v>112.65695773678323</v>
      </c>
      <c r="AD75" s="32">
        <f t="shared" si="140"/>
        <v>110.05698232030863</v>
      </c>
      <c r="AE75" s="32">
        <f t="shared" si="140"/>
        <v>107.85301344262039</v>
      </c>
      <c r="AF75" s="32">
        <f t="shared" si="140"/>
        <v>105.99638238448574</v>
      </c>
      <c r="AG75" s="32">
        <f t="shared" si="140"/>
        <v>104.43482701328514</v>
      </c>
      <c r="AH75" s="32">
        <f t="shared" si="140"/>
        <v>103.11304521014017</v>
      </c>
      <c r="AI75" s="32">
        <f t="shared" si="140"/>
        <v>101.9732732550159</v>
      </c>
      <c r="AJ75" s="32">
        <f t="shared" si="140"/>
        <v>100.95588403142659</v>
      </c>
      <c r="AK75" s="31">
        <f t="shared" ref="AK75:AK104" si="141">$B$17</f>
        <v>100</v>
      </c>
      <c r="AL75" s="55"/>
      <c r="AM75" s="22">
        <v>9.6666666666666679E-2</v>
      </c>
      <c r="AN75" s="18">
        <f t="shared" ref="AN75:AN104" si="142">-($B$12*$B$11)/$B$8*G40</f>
        <v>-1076400000</v>
      </c>
      <c r="AO75" s="20">
        <f t="shared" ref="AO75:AO104" si="143">-($B$12*$B$11)/$B$8*H40</f>
        <v>-1031755649.5310231</v>
      </c>
      <c r="AP75" s="20">
        <f t="shared" ref="AP75:AP104" si="144">-($B$12*$B$11)/$B$8*I40</f>
        <v>-987342209.34313321</v>
      </c>
      <c r="AQ75" s="20">
        <f t="shared" ref="AQ75:AQ104" si="145">-($B$12*$B$11)/$B$8*J40</f>
        <v>-943387890.61387217</v>
      </c>
      <c r="AR75" s="20">
        <f t="shared" ref="AR75:AR104" si="146">-($B$12*$B$11)/$B$8*K40</f>
        <v>-900115543.37265563</v>
      </c>
      <c r="AS75" s="20">
        <f t="shared" ref="AS75:AS104" si="147">-($B$12*$B$11)/$B$8*L40</f>
        <v>-857740067.83185887</v>
      </c>
      <c r="AT75" s="20">
        <f t="shared" ref="AT75:AT104" si="148">-($B$12*$B$11)/$B$8*M40</f>
        <v>-816465933.94946337</v>
      </c>
      <c r="AU75" s="20">
        <f t="shared" ref="AU75:AU104" si="149">-($B$12*$B$11)/$B$8*N40</f>
        <v>-776484841.94619203</v>
      </c>
      <c r="AV75" s="20">
        <f t="shared" ref="AV75:AV104" si="150">-($B$12*$B$11)/$B$8*O40</f>
        <v>-737973553.76201725</v>
      </c>
      <c r="AW75" s="20">
        <f t="shared" ref="AW75:AW104" si="151">-($B$12*$B$11)/$B$8*P40</f>
        <v>-701091922.17868316</v>
      </c>
      <c r="AX75" s="20">
        <f t="shared" ref="AX75:AX104" si="152">-($B$12*$B$11)/$B$8*Q40</f>
        <v>-665981140.65555549</v>
      </c>
      <c r="AY75" s="20">
        <f t="shared" ref="AY75:AY104" si="153">-($B$12*$B$11)/$B$8*R40</f>
        <v>-632762232.93487549</v>
      </c>
      <c r="AZ75" s="20">
        <f t="shared" ref="AZ75:AZ104" si="154">-($B$12*$B$11)/$B$8*S40</f>
        <v>-601534797.28413081</v>
      </c>
      <c r="BA75" s="20">
        <f t="shared" ref="BA75:BA104" si="155">-($B$12*$B$11)/$B$8*T40</f>
        <v>-572376015.97358239</v>
      </c>
      <c r="BB75" s="20">
        <f t="shared" ref="BB75:BB104" si="156">-($B$12*$B$11)/$B$8*U40</f>
        <v>-545339936.34832907</v>
      </c>
      <c r="BC75" s="20">
        <f t="shared" ref="BC75:BC104" si="157">-($B$12*$B$11)/$B$8*V40</f>
        <v>-520457025.75134164</v>
      </c>
      <c r="BD75" s="20">
        <f t="shared" ref="BD75:BD104" si="158">-($B$12*$B$11)/$B$8*W40</f>
        <v>-497733998.67997622</v>
      </c>
      <c r="BE75" s="20">
        <f t="shared" ref="BE75:BE104" si="159">-($B$12*$B$11)/$B$8*X40</f>
        <v>-477153910.99254698</v>
      </c>
      <c r="BF75" s="20">
        <f t="shared" ref="BF75:BF104" si="160">-($B$12*$B$11)/$B$8*Y40</f>
        <v>-458676512.78582782</v>
      </c>
      <c r="BG75" s="20">
        <f t="shared" ref="BG75:BG104" si="161">-($B$12*$B$11)/$B$8*Z40</f>
        <v>-442238848.78297508</v>
      </c>
      <c r="BH75" s="20">
        <f t="shared" ref="BH75:BH104" si="162">-($B$12*$B$11)/$B$8*AA40</f>
        <v>-427756092.72961599</v>
      </c>
      <c r="BI75" s="20">
        <f t="shared" ref="BI75:BI104" si="163">-($B$12*$B$11)/$B$8*AB40</f>
        <v>-415122600.40051836</v>
      </c>
      <c r="BJ75" s="20">
        <f t="shared" ref="BJ75:BJ104" si="164">-($B$12*$B$11)/$B$8*AC40</f>
        <v>-404213164.35957813</v>
      </c>
      <c r="BK75" s="20">
        <f t="shared" ref="BK75:BK104" si="165">-($B$12*$B$11)/$B$8*AD40</f>
        <v>-394884452.56526732</v>
      </c>
      <c r="BL75" s="20">
        <f t="shared" ref="BL75:BL104" si="166">-($B$12*$B$11)/$B$8*AE40</f>
        <v>-386976612.23212194</v>
      </c>
      <c r="BM75" s="20">
        <f t="shared" ref="BM75:BM104" si="167">-($B$12*$B$11)/$B$8*AF40</f>
        <v>-380315019.99553478</v>
      </c>
      <c r="BN75" s="20">
        <f t="shared" ref="BN75:BN104" si="168">-($B$12*$B$11)/$B$8*AG40</f>
        <v>-374712159.32366717</v>
      </c>
      <c r="BO75" s="20">
        <f t="shared" ref="BO75:BO104" si="169">-($B$12*$B$11)/$B$8*AH40</f>
        <v>-369969606.21398294</v>
      </c>
      <c r="BP75" s="20">
        <f t="shared" ref="BP75:BP104" si="170">-($B$12*$B$11)/$B$8*AI40</f>
        <v>-365880104.43899703</v>
      </c>
      <c r="BQ75" s="20">
        <f t="shared" ref="BQ75:BQ104" si="171">-($B$12*$B$11)/$B$8*AJ40</f>
        <v>-362229711.90475857</v>
      </c>
      <c r="BR75" s="18">
        <f t="shared" ref="BR75:BR104" si="172">-($B$12*$B$11)/$B$8*AK40</f>
        <v>-358800000</v>
      </c>
      <c r="BT75" s="52"/>
      <c r="BU75" s="22">
        <v>9.6666666666666679E-2</v>
      </c>
      <c r="BV75" s="18">
        <f t="shared" ref="BV75:BV103" si="173">$B$20/($B$21-$B$22*BV76)</f>
        <v>0.40647187995004247</v>
      </c>
      <c r="BW75" s="20">
        <f t="shared" ref="BW75:BW103" si="174">$B$20/($B$21-$B$22*BW76)</f>
        <v>0.40647187995004247</v>
      </c>
      <c r="BX75" s="20">
        <f t="shared" ref="BX75:BX103" si="175">$B$20/($B$21-$B$22*BX76)</f>
        <v>0.40647187995004247</v>
      </c>
      <c r="BY75" s="20">
        <f t="shared" ref="BY75:BY103" si="176">$B$20/($B$21-$B$22*BY76)</f>
        <v>0.40647187995004247</v>
      </c>
      <c r="BZ75" s="20">
        <f t="shared" ref="BZ75:BZ103" si="177">$B$20/($B$21-$B$22*BZ76)</f>
        <v>0.40647187995004247</v>
      </c>
      <c r="CA75" s="20">
        <f t="shared" ref="CA75:CA103" si="178">$B$20/($B$21-$B$22*CA76)</f>
        <v>0.40647187995004247</v>
      </c>
      <c r="CB75" s="20">
        <f t="shared" ref="CB75:CB103" si="179">$B$20/($B$21-$B$22*CB76)</f>
        <v>0.40647187995004247</v>
      </c>
      <c r="CC75" s="20">
        <f t="shared" ref="CC75:CC103" si="180">$B$20/($B$21-$B$22*CC76)</f>
        <v>0.40647187995004247</v>
      </c>
      <c r="CD75" s="20">
        <f t="shared" ref="CD75:CD103" si="181">$B$20/($B$21-$B$22*CD76)</f>
        <v>0.40647187995004247</v>
      </c>
      <c r="CE75" s="20">
        <f t="shared" ref="CE75:CE103" si="182">$B$20/($B$21-$B$22*CE76)</f>
        <v>0.40647187995004247</v>
      </c>
      <c r="CF75" s="20">
        <f t="shared" ref="CF75:CF103" si="183">$B$20/($B$21-$B$22*CF76)</f>
        <v>0.40647187995004247</v>
      </c>
      <c r="CG75" s="20">
        <f t="shared" ref="CG75:CG103" si="184">$B$20/($B$21-$B$22*CG76)</f>
        <v>0.40647187995004247</v>
      </c>
      <c r="CH75" s="20">
        <f t="shared" ref="CH75:CH103" si="185">$B$20/($B$21-$B$22*CH76)</f>
        <v>0.40647187995004247</v>
      </c>
      <c r="CI75" s="20">
        <f t="shared" ref="CI75:CI103" si="186">$B$20/($B$21-$B$22*CI76)</f>
        <v>0.40647187995004247</v>
      </c>
      <c r="CJ75" s="20">
        <f t="shared" ref="CJ75:CJ103" si="187">$B$20/($B$21-$B$22*CJ76)</f>
        <v>0.40647187995004247</v>
      </c>
      <c r="CK75" s="20">
        <f t="shared" ref="CK75:CK103" si="188">$B$20/($B$21-$B$22*CK76)</f>
        <v>0.40647187995004247</v>
      </c>
      <c r="CL75" s="20">
        <f t="shared" ref="CL75:CL103" si="189">$B$20/($B$21-$B$22*CL76)</f>
        <v>0.40647187995004247</v>
      </c>
      <c r="CM75" s="20">
        <f t="shared" ref="CM75:CM103" si="190">$B$20/($B$21-$B$22*CM76)</f>
        <v>0.40647187995004247</v>
      </c>
      <c r="CN75" s="20">
        <f t="shared" ref="CN75:CN103" si="191">$B$20/($B$21-$B$22*CN76)</f>
        <v>0.40647187995004247</v>
      </c>
      <c r="CO75" s="20">
        <f t="shared" ref="CO75:CO103" si="192">$B$20/($B$21-$B$22*CO76)</f>
        <v>0.40647187995004247</v>
      </c>
      <c r="CP75" s="20">
        <f t="shared" ref="CP75:CP103" si="193">$B$20/($B$21-$B$22*CP76)</f>
        <v>0.40647187995004247</v>
      </c>
      <c r="CQ75" s="20">
        <f t="shared" ref="CQ75:CQ103" si="194">$B$20/($B$21-$B$22*CQ76)</f>
        <v>0.40647187995004247</v>
      </c>
      <c r="CR75" s="20">
        <f t="shared" ref="CR75:CR103" si="195">$B$20/($B$21-$B$22*CR76)</f>
        <v>0.40647187995004247</v>
      </c>
      <c r="CS75" s="20">
        <f t="shared" ref="CS75:CS103" si="196">$B$20/($B$21-$B$22*CS76)</f>
        <v>0.40647187995004247</v>
      </c>
      <c r="CT75" s="20">
        <f t="shared" ref="CT75:CT103" si="197">$B$20/($B$21-$B$22*CT76)</f>
        <v>0.40647187995004247</v>
      </c>
      <c r="CU75" s="20">
        <f t="shared" ref="CU75:CU103" si="198">$B$20/($B$21-$B$22*CU76)</f>
        <v>0.40647187995004247</v>
      </c>
      <c r="CV75" s="20">
        <f t="shared" ref="CV75:CV103" si="199">$B$20/($B$21-$B$22*CV76)</f>
        <v>0.40647187995004247</v>
      </c>
      <c r="CW75" s="20">
        <f t="shared" ref="CW75:CW103" si="200">$B$20/($B$21-$B$22*CW76)</f>
        <v>0.40647187995004247</v>
      </c>
      <c r="CX75" s="20">
        <f t="shared" ref="CX75:CX103" si="201">$B$20/($B$21-$B$22*CX76)</f>
        <v>0.40647187995004247</v>
      </c>
      <c r="CY75" s="20">
        <f t="shared" ref="CY75:CY103" si="202">$B$20/($B$21-$B$22*CY76)</f>
        <v>0.40647187995004247</v>
      </c>
      <c r="CZ75" s="18">
        <f t="shared" ref="CZ75:CZ103" si="203">$B$20/($B$21-$B$22*CZ76)</f>
        <v>0.40647187995004247</v>
      </c>
      <c r="DB75" s="52"/>
      <c r="DC75" s="22">
        <v>9.6666666666666679E-2</v>
      </c>
      <c r="DD75" s="18">
        <f t="shared" ref="DD75:DD103" si="204">(DD76*$B$22-AN75)/($B$21-$B$22*BV76)</f>
        <v>178.05843601498725</v>
      </c>
      <c r="DE75" s="20">
        <f t="shared" ref="DE75:DE103" si="205">(DE76*$B$22-AO75)/($B$21-$B$22*BW76)</f>
        <v>170.67335312627401</v>
      </c>
      <c r="DF75" s="20">
        <f t="shared" ref="DF75:DF103" si="206">(DF76*$B$22-AP75)/($B$21-$B$22*BX76)</f>
        <v>163.32646749091458</v>
      </c>
      <c r="DG75" s="20">
        <f t="shared" ref="DG75:DG103" si="207">(DG76*$B$22-AQ75)/($B$21-$B$22*BY76)</f>
        <v>156.05552987568186</v>
      </c>
      <c r="DH75" s="20">
        <f t="shared" ref="DH75:DH103" si="208">(DH76*$B$22-AR75)/($B$21-$B$22*BZ76)</f>
        <v>148.89740420449229</v>
      </c>
      <c r="DI75" s="20">
        <f t="shared" ref="DI75:DI103" si="209">(DI76*$B$22-AS75)/($B$21-$B$22*CA76)</f>
        <v>141.88763933995716</v>
      </c>
      <c r="DJ75" s="20">
        <f t="shared" ref="DJ75:DJ103" si="210">(DJ76*$B$22-AT75)/($B$21-$B$22*CB76)</f>
        <v>135.06005876863375</v>
      </c>
      <c r="DK75" s="20">
        <f t="shared" ref="DK75:DK103" si="211">(DK76*$B$22-AU75)/($B$21-$B$22*CC76)</f>
        <v>128.44637360301331</v>
      </c>
      <c r="DL75" s="20">
        <f t="shared" ref="DL75:DL103" si="212">(DL76*$B$22-AV75)/($B$21-$B$22*CD76)</f>
        <v>122.07582386035573</v>
      </c>
      <c r="DM75" s="20">
        <f t="shared" ref="DM75:DM103" si="213">(DM76*$B$22-AW75)/($B$21-$B$22*CE76)</f>
        <v>115.97485243949971</v>
      </c>
      <c r="DN75" s="20">
        <f t="shared" ref="DN75:DN103" si="214">(DN76*$B$22-AX75)/($B$21-$B$22*CF76)</f>
        <v>110.16681560814332</v>
      </c>
      <c r="DO75" s="20">
        <f t="shared" ref="DO75:DO103" si="215">(DO76*$B$22-AY75)/($B$21-$B$22*CG76)</f>
        <v>104.67173315285673</v>
      </c>
      <c r="DP75" s="20">
        <f t="shared" ref="DP75:DP103" si="216">(DP76*$B$22-AZ75)/($B$21-$B$22*CH76)</f>
        <v>99.506080651249306</v>
      </c>
      <c r="DQ75" s="20">
        <f t="shared" ref="DQ75:DQ103" si="217">(DQ76*$B$22-BA75)/($B$21-$B$22*CI76)</f>
        <v>94.682625619421657</v>
      </c>
      <c r="DR75" s="20">
        <f t="shared" ref="DR75:DR103" si="218">(DR76*$B$22-BB75)/($B$21-$B$22*CJ76)</f>
        <v>90.210308586674287</v>
      </c>
      <c r="DS75" s="20">
        <f t="shared" ref="DS75:DS103" si="219">(DS76*$B$22-BC75)/($B$21-$B$22*CK76)</f>
        <v>86.094169470731941</v>
      </c>
      <c r="DT75" s="20">
        <f t="shared" ref="DT75:DT103" si="220">(DT76*$B$22-BD75)/($B$21-$B$22*CL76)</f>
        <v>82.33531898591815</v>
      </c>
      <c r="DU75" s="20">
        <f t="shared" ref="DU75:DU103" si="221">(DU76*$B$22-BE75)/($B$21-$B$22*CM76)</f>
        <v>78.930954226837002</v>
      </c>
      <c r="DV75" s="20">
        <f t="shared" ref="DV75:DV103" si="222">(DV76*$B$22-BF75)/($B$21-$B$22*CN76)</f>
        <v>75.874417041483468</v>
      </c>
      <c r="DW75" s="20">
        <f t="shared" ref="DW75:DW103" si="223">(DW76*$B$22-BG75)/($B$21-$B$22*CO76)</f>
        <v>73.155293347607767</v>
      </c>
      <c r="DX75" s="20">
        <f t="shared" ref="DX75:DX103" si="224">(DX76*$B$22-BH75)/($B$21-$B$22*CP76)</f>
        <v>70.759551158786053</v>
      </c>
      <c r="DY75" s="20">
        <f t="shared" ref="DY75:DY103" si="225">(DY76*$B$22-BI75)/($B$21-$B$22*CQ76)</f>
        <v>68.669714773124127</v>
      </c>
      <c r="DZ75" s="20">
        <f t="shared" ref="DZ75:DZ103" si="226">(DZ76*$B$22-BJ75)/($B$21-$B$22*CR76)</f>
        <v>66.865072336060464</v>
      </c>
      <c r="EA75" s="20">
        <f t="shared" ref="EA75:EA103" si="227">(EA76*$B$22-BK75)/($B$21-$B$22*CS76)</f>
        <v>65.321913814944196</v>
      </c>
      <c r="EB75" s="20">
        <f t="shared" ref="EB75:EB103" si="228">(EB76*$B$22-BL75)/($B$21-$B$22*CT76)</f>
        <v>64.013796310321283</v>
      </c>
      <c r="EC75" s="20">
        <f t="shared" ref="EC75:EC103" si="229">(EC76*$B$22-BM75)/($B$21-$B$22*CU76)</f>
        <v>62.911833568760258</v>
      </c>
      <c r="ED75" s="20">
        <f t="shared" ref="ED75:ED103" si="230">(ED76*$B$22-BN75)/($B$21-$B$22*CV76)</f>
        <v>61.985006544937661</v>
      </c>
      <c r="EE75" s="20">
        <f t="shared" ref="EE75:EE103" si="231">(EE76*$B$22-BO75)/($B$21-$B$22*CW76)</f>
        <v>61.200491876200779</v>
      </c>
      <c r="EF75" s="20">
        <f t="shared" ref="EF75:EF103" si="232">(EF76*$B$22-BP75)/($B$21-$B$22*CX76)</f>
        <v>60.524005170390197</v>
      </c>
      <c r="EG75" s="20">
        <f t="shared" ref="EG75:EG103" si="233">(EG76*$B$22-BQ75)/($B$21-$B$22*CY76)</f>
        <v>59.920156057154152</v>
      </c>
      <c r="EH75" s="18">
        <f t="shared" ref="EH75:EH103" si="234">(EH76*$B$22-BR75)/($B$21-$B$22*CZ76)</f>
        <v>59.352812004995762</v>
      </c>
    </row>
    <row r="76" spans="5:138" x14ac:dyDescent="0.3">
      <c r="E76" s="54"/>
      <c r="F76" s="22">
        <v>9.3333333333333338E-2</v>
      </c>
      <c r="G76" s="31">
        <f t="shared" si="139"/>
        <v>300</v>
      </c>
      <c r="H76" s="32">
        <f t="shared" ref="H76:H104" si="235">BW76*H75+DE76</f>
        <v>287.55731592280472</v>
      </c>
      <c r="I76" s="32">
        <f t="shared" ref="I76:I104" si="236">BX76*I75+DF76</f>
        <v>275.17898811124115</v>
      </c>
      <c r="J76" s="32">
        <f t="shared" ref="J76:J104" si="237">BY76*J75+DG76</f>
        <v>262.92862057242814</v>
      </c>
      <c r="K76" s="32">
        <f t="shared" ref="K76:K104" si="238">BZ76*K75+DH76</f>
        <v>250.86832312504339</v>
      </c>
      <c r="L76" s="32">
        <f t="shared" ref="L76:L104" si="239">CA76*L75+DI76</f>
        <v>239.05798991969311</v>
      </c>
      <c r="M76" s="32">
        <f t="shared" ref="M76:M104" si="240">CB76*M75+DJ76</f>
        <v>227.55460812415373</v>
      </c>
      <c r="N76" s="32">
        <f t="shared" ref="N76:N104" si="241">CC76*N75+DK76</f>
        <v>216.41160589358753</v>
      </c>
      <c r="O76" s="32">
        <f t="shared" ref="O76:O104" si="242">CD76*O75+DL76</f>
        <v>205.67824798272497</v>
      </c>
      <c r="P76" s="32">
        <f t="shared" ref="P76:P104" si="243">CE76*P75+DM76</f>
        <v>195.39908644890835</v>
      </c>
      <c r="Q76" s="32">
        <f t="shared" ref="Q76:Q104" si="244">CF76*Q75+DN76</f>
        <v>185.61347286944135</v>
      </c>
      <c r="R76" s="32">
        <f t="shared" ref="R76:R104" si="245">CG76*R75+DO76</f>
        <v>176.35513738430194</v>
      </c>
      <c r="S76" s="32">
        <f t="shared" ref="S76:S104" si="246">CH76*S75+DP76</f>
        <v>167.65183870795175</v>
      </c>
      <c r="T76" s="32">
        <f t="shared" ref="T76:T104" si="247">CI76*T75+DQ76</f>
        <v>159.5250880639862</v>
      </c>
      <c r="U76" s="32">
        <f t="shared" ref="U76:U104" si="248">CJ76*U75+DR76</f>
        <v>151.98994881503043</v>
      </c>
      <c r="V76" s="32">
        <f t="shared" ref="V76:V104" si="249">CK76*V75+DS76</f>
        <v>145.05491241676191</v>
      </c>
      <c r="W76" s="32">
        <f t="shared" ref="W76:W104" si="250">CL76*W75+DT76</f>
        <v>138.72185024525535</v>
      </c>
      <c r="X76" s="32">
        <f t="shared" ref="X76:X104" si="251">CM76*X75+DU76</f>
        <v>132.98603985299525</v>
      </c>
      <c r="Y76" s="32">
        <f t="shared" ref="Y76:Y104" si="252">CN76*Y75+DV76</f>
        <v>127.83626331823517</v>
      </c>
      <c r="Z76" s="32">
        <f t="shared" ref="Z76:Z104" si="253">CO76*Z75+DW76</f>
        <v>123.25497457719484</v>
      </c>
      <c r="AA76" s="32">
        <f t="shared" ref="AA76:AA104" si="254">CP76*AA75+DX76</f>
        <v>119.21853197592421</v>
      </c>
      <c r="AB76" s="32">
        <f t="shared" ref="AB76:AB104" si="255">CQ76*AB75+DY76</f>
        <v>115.69749175042315</v>
      </c>
      <c r="AC76" s="32">
        <f t="shared" ref="AC76:AC104" si="256">CR76*AC75+DZ76</f>
        <v>112.65695773678323</v>
      </c>
      <c r="AD76" s="32">
        <f t="shared" ref="AD76:AD104" si="257">CS76*AD75+EA76</f>
        <v>110.05698232030863</v>
      </c>
      <c r="AE76" s="32">
        <f t="shared" ref="AE76:AE104" si="258">CT76*AE75+EB76</f>
        <v>107.85301344262039</v>
      </c>
      <c r="AF76" s="32">
        <f t="shared" ref="AF76:AF104" si="259">CU76*AF75+EC76</f>
        <v>105.99638238448574</v>
      </c>
      <c r="AG76" s="32">
        <f t="shared" ref="AG76:AG104" si="260">CV76*AG75+ED76</f>
        <v>104.43482701328514</v>
      </c>
      <c r="AH76" s="32">
        <f t="shared" ref="AH76:AH104" si="261">CW76*AH75+EE76</f>
        <v>103.11304521014017</v>
      </c>
      <c r="AI76" s="32">
        <f t="shared" ref="AI76:AI104" si="262">CX76*AI75+EF76</f>
        <v>101.9732732550159</v>
      </c>
      <c r="AJ76" s="32">
        <f t="shared" ref="AJ76:AJ104" si="263">CY76*AJ75+EG76</f>
        <v>100.95588403142659</v>
      </c>
      <c r="AK76" s="31">
        <f t="shared" si="141"/>
        <v>100</v>
      </c>
      <c r="AL76" s="55"/>
      <c r="AM76" s="22">
        <v>9.3333333333333338E-2</v>
      </c>
      <c r="AN76" s="18">
        <f t="shared" si="142"/>
        <v>-1076400000</v>
      </c>
      <c r="AO76" s="20">
        <f t="shared" si="143"/>
        <v>-1031755649.5310231</v>
      </c>
      <c r="AP76" s="20">
        <f t="shared" si="144"/>
        <v>-987342209.34313321</v>
      </c>
      <c r="AQ76" s="20">
        <f t="shared" si="145"/>
        <v>-943387890.61387217</v>
      </c>
      <c r="AR76" s="20">
        <f t="shared" si="146"/>
        <v>-900115543.37265563</v>
      </c>
      <c r="AS76" s="20">
        <f t="shared" si="147"/>
        <v>-857740067.83185887</v>
      </c>
      <c r="AT76" s="20">
        <f t="shared" si="148"/>
        <v>-816465933.94946337</v>
      </c>
      <c r="AU76" s="20">
        <f t="shared" si="149"/>
        <v>-776484841.94619203</v>
      </c>
      <c r="AV76" s="20">
        <f t="shared" si="150"/>
        <v>-737973553.76201725</v>
      </c>
      <c r="AW76" s="20">
        <f t="shared" si="151"/>
        <v>-701091922.17868316</v>
      </c>
      <c r="AX76" s="20">
        <f t="shared" si="152"/>
        <v>-665981140.65555549</v>
      </c>
      <c r="AY76" s="20">
        <f t="shared" si="153"/>
        <v>-632762232.93487549</v>
      </c>
      <c r="AZ76" s="20">
        <f t="shared" si="154"/>
        <v>-601534797.28413081</v>
      </c>
      <c r="BA76" s="20">
        <f t="shared" si="155"/>
        <v>-572376015.97358239</v>
      </c>
      <c r="BB76" s="20">
        <f t="shared" si="156"/>
        <v>-545339936.34832907</v>
      </c>
      <c r="BC76" s="20">
        <f t="shared" si="157"/>
        <v>-520457025.75134164</v>
      </c>
      <c r="BD76" s="20">
        <f t="shared" si="158"/>
        <v>-497733998.67997622</v>
      </c>
      <c r="BE76" s="20">
        <f t="shared" si="159"/>
        <v>-477153910.99254698</v>
      </c>
      <c r="BF76" s="20">
        <f t="shared" si="160"/>
        <v>-458676512.78582782</v>
      </c>
      <c r="BG76" s="20">
        <f t="shared" si="161"/>
        <v>-442238848.78297508</v>
      </c>
      <c r="BH76" s="20">
        <f t="shared" si="162"/>
        <v>-427756092.72961599</v>
      </c>
      <c r="BI76" s="20">
        <f t="shared" si="163"/>
        <v>-415122600.40051836</v>
      </c>
      <c r="BJ76" s="20">
        <f t="shared" si="164"/>
        <v>-404213164.35957813</v>
      </c>
      <c r="BK76" s="20">
        <f t="shared" si="165"/>
        <v>-394884452.56526732</v>
      </c>
      <c r="BL76" s="20">
        <f t="shared" si="166"/>
        <v>-386976612.23212194</v>
      </c>
      <c r="BM76" s="20">
        <f t="shared" si="167"/>
        <v>-380315019.99553478</v>
      </c>
      <c r="BN76" s="20">
        <f t="shared" si="168"/>
        <v>-374712159.32366717</v>
      </c>
      <c r="BO76" s="20">
        <f t="shared" si="169"/>
        <v>-369969606.21398294</v>
      </c>
      <c r="BP76" s="20">
        <f t="shared" si="170"/>
        <v>-365880104.43899703</v>
      </c>
      <c r="BQ76" s="20">
        <f t="shared" si="171"/>
        <v>-362229711.90475857</v>
      </c>
      <c r="BR76" s="18">
        <f t="shared" si="172"/>
        <v>-358800000</v>
      </c>
      <c r="BT76" s="52"/>
      <c r="BU76" s="22">
        <v>9.3333333333333338E-2</v>
      </c>
      <c r="BV76" s="18">
        <f t="shared" si="173"/>
        <v>0.40647187995004247</v>
      </c>
      <c r="BW76" s="20">
        <f t="shared" si="174"/>
        <v>0.40647187995004247</v>
      </c>
      <c r="BX76" s="20">
        <f t="shared" si="175"/>
        <v>0.40647187995004247</v>
      </c>
      <c r="BY76" s="20">
        <f t="shared" si="176"/>
        <v>0.40647187995004247</v>
      </c>
      <c r="BZ76" s="20">
        <f t="shared" si="177"/>
        <v>0.40647187995004247</v>
      </c>
      <c r="CA76" s="20">
        <f t="shared" si="178"/>
        <v>0.40647187995004247</v>
      </c>
      <c r="CB76" s="20">
        <f t="shared" si="179"/>
        <v>0.40647187995004247</v>
      </c>
      <c r="CC76" s="20">
        <f t="shared" si="180"/>
        <v>0.40647187995004247</v>
      </c>
      <c r="CD76" s="20">
        <f t="shared" si="181"/>
        <v>0.40647187995004247</v>
      </c>
      <c r="CE76" s="20">
        <f t="shared" si="182"/>
        <v>0.40647187995004247</v>
      </c>
      <c r="CF76" s="20">
        <f t="shared" si="183"/>
        <v>0.40647187995004247</v>
      </c>
      <c r="CG76" s="20">
        <f t="shared" si="184"/>
        <v>0.40647187995004247</v>
      </c>
      <c r="CH76" s="20">
        <f t="shared" si="185"/>
        <v>0.40647187995004247</v>
      </c>
      <c r="CI76" s="20">
        <f t="shared" si="186"/>
        <v>0.40647187995004247</v>
      </c>
      <c r="CJ76" s="20">
        <f t="shared" si="187"/>
        <v>0.40647187995004247</v>
      </c>
      <c r="CK76" s="20">
        <f t="shared" si="188"/>
        <v>0.40647187995004247</v>
      </c>
      <c r="CL76" s="20">
        <f t="shared" si="189"/>
        <v>0.40647187995004247</v>
      </c>
      <c r="CM76" s="20">
        <f t="shared" si="190"/>
        <v>0.40647187995004247</v>
      </c>
      <c r="CN76" s="20">
        <f t="shared" si="191"/>
        <v>0.40647187995004247</v>
      </c>
      <c r="CO76" s="20">
        <f t="shared" si="192"/>
        <v>0.40647187995004247</v>
      </c>
      <c r="CP76" s="20">
        <f t="shared" si="193"/>
        <v>0.40647187995004247</v>
      </c>
      <c r="CQ76" s="20">
        <f t="shared" si="194"/>
        <v>0.40647187995004247</v>
      </c>
      <c r="CR76" s="20">
        <f t="shared" si="195"/>
        <v>0.40647187995004247</v>
      </c>
      <c r="CS76" s="20">
        <f t="shared" si="196"/>
        <v>0.40647187995004247</v>
      </c>
      <c r="CT76" s="20">
        <f t="shared" si="197"/>
        <v>0.40647187995004247</v>
      </c>
      <c r="CU76" s="20">
        <f t="shared" si="198"/>
        <v>0.40647187995004247</v>
      </c>
      <c r="CV76" s="20">
        <f t="shared" si="199"/>
        <v>0.40647187995004247</v>
      </c>
      <c r="CW76" s="20">
        <f t="shared" si="200"/>
        <v>0.40647187995004247</v>
      </c>
      <c r="CX76" s="20">
        <f t="shared" si="201"/>
        <v>0.40647187995004247</v>
      </c>
      <c r="CY76" s="20">
        <f t="shared" si="202"/>
        <v>0.40647187995004247</v>
      </c>
      <c r="CZ76" s="18">
        <f t="shared" si="203"/>
        <v>0.40647187995004247</v>
      </c>
      <c r="DB76" s="52"/>
      <c r="DC76" s="22">
        <v>9.3333333333333338E-2</v>
      </c>
      <c r="DD76" s="18">
        <f t="shared" si="204"/>
        <v>178.05843601498725</v>
      </c>
      <c r="DE76" s="20">
        <f t="shared" si="205"/>
        <v>170.67335312627401</v>
      </c>
      <c r="DF76" s="20">
        <f t="shared" si="206"/>
        <v>163.32646749091458</v>
      </c>
      <c r="DG76" s="20">
        <f t="shared" si="207"/>
        <v>156.05552987568186</v>
      </c>
      <c r="DH76" s="20">
        <f t="shared" si="208"/>
        <v>148.89740420449229</v>
      </c>
      <c r="DI76" s="20">
        <f t="shared" si="209"/>
        <v>141.88763933995716</v>
      </c>
      <c r="DJ76" s="20">
        <f t="shared" si="210"/>
        <v>135.06005876863375</v>
      </c>
      <c r="DK76" s="20">
        <f t="shared" si="211"/>
        <v>128.44637360301331</v>
      </c>
      <c r="DL76" s="20">
        <f t="shared" si="212"/>
        <v>122.07582386035573</v>
      </c>
      <c r="DM76" s="20">
        <f t="shared" si="213"/>
        <v>115.97485243949971</v>
      </c>
      <c r="DN76" s="20">
        <f t="shared" si="214"/>
        <v>110.16681560814332</v>
      </c>
      <c r="DO76" s="20">
        <f t="shared" si="215"/>
        <v>104.67173315285673</v>
      </c>
      <c r="DP76" s="20">
        <f t="shared" si="216"/>
        <v>99.506080651249306</v>
      </c>
      <c r="DQ76" s="20">
        <f t="shared" si="217"/>
        <v>94.682625619421657</v>
      </c>
      <c r="DR76" s="20">
        <f t="shared" si="218"/>
        <v>90.210308586674287</v>
      </c>
      <c r="DS76" s="20">
        <f t="shared" si="219"/>
        <v>86.094169470731941</v>
      </c>
      <c r="DT76" s="20">
        <f t="shared" si="220"/>
        <v>82.33531898591815</v>
      </c>
      <c r="DU76" s="20">
        <f t="shared" si="221"/>
        <v>78.930954226837002</v>
      </c>
      <c r="DV76" s="20">
        <f t="shared" si="222"/>
        <v>75.874417041483468</v>
      </c>
      <c r="DW76" s="20">
        <f t="shared" si="223"/>
        <v>73.155293347607767</v>
      </c>
      <c r="DX76" s="20">
        <f t="shared" si="224"/>
        <v>70.759551158786053</v>
      </c>
      <c r="DY76" s="20">
        <f t="shared" si="225"/>
        <v>68.669714773124127</v>
      </c>
      <c r="DZ76" s="20">
        <f t="shared" si="226"/>
        <v>66.865072336060464</v>
      </c>
      <c r="EA76" s="20">
        <f t="shared" si="227"/>
        <v>65.321913814944196</v>
      </c>
      <c r="EB76" s="20">
        <f t="shared" si="228"/>
        <v>64.013796310321283</v>
      </c>
      <c r="EC76" s="20">
        <f t="shared" si="229"/>
        <v>62.911833568760258</v>
      </c>
      <c r="ED76" s="20">
        <f t="shared" si="230"/>
        <v>61.985006544937661</v>
      </c>
      <c r="EE76" s="20">
        <f t="shared" si="231"/>
        <v>61.200491876200779</v>
      </c>
      <c r="EF76" s="20">
        <f t="shared" si="232"/>
        <v>60.524005170390197</v>
      </c>
      <c r="EG76" s="20">
        <f t="shared" si="233"/>
        <v>59.920156057154152</v>
      </c>
      <c r="EH76" s="18">
        <f t="shared" si="234"/>
        <v>59.352812004995762</v>
      </c>
    </row>
    <row r="77" spans="5:138" x14ac:dyDescent="0.3">
      <c r="E77" s="54"/>
      <c r="F77" s="22">
        <v>9.0000000000000011E-2</v>
      </c>
      <c r="G77" s="31">
        <f t="shared" si="139"/>
        <v>300</v>
      </c>
      <c r="H77" s="32">
        <f t="shared" si="235"/>
        <v>287.55731592280472</v>
      </c>
      <c r="I77" s="32">
        <f t="shared" si="236"/>
        <v>275.17898811124115</v>
      </c>
      <c r="J77" s="32">
        <f t="shared" si="237"/>
        <v>262.92862057242814</v>
      </c>
      <c r="K77" s="32">
        <f t="shared" si="238"/>
        <v>250.86832312504339</v>
      </c>
      <c r="L77" s="32">
        <f t="shared" si="239"/>
        <v>239.05798991969311</v>
      </c>
      <c r="M77" s="32">
        <f t="shared" si="240"/>
        <v>227.55460812415373</v>
      </c>
      <c r="N77" s="32">
        <f t="shared" si="241"/>
        <v>216.41160589358753</v>
      </c>
      <c r="O77" s="32">
        <f t="shared" si="242"/>
        <v>205.67824798272497</v>
      </c>
      <c r="P77" s="32">
        <f t="shared" si="243"/>
        <v>195.39908644890835</v>
      </c>
      <c r="Q77" s="32">
        <f t="shared" si="244"/>
        <v>185.61347286944135</v>
      </c>
      <c r="R77" s="32">
        <f t="shared" si="245"/>
        <v>176.35513738430194</v>
      </c>
      <c r="S77" s="32">
        <f t="shared" si="246"/>
        <v>167.65183870795175</v>
      </c>
      <c r="T77" s="32">
        <f t="shared" si="247"/>
        <v>159.5250880639862</v>
      </c>
      <c r="U77" s="32">
        <f t="shared" si="248"/>
        <v>151.98994881503043</v>
      </c>
      <c r="V77" s="32">
        <f t="shared" si="249"/>
        <v>145.05491241676191</v>
      </c>
      <c r="W77" s="32">
        <f t="shared" si="250"/>
        <v>138.72185024525535</v>
      </c>
      <c r="X77" s="32">
        <f t="shared" si="251"/>
        <v>132.98603985299525</v>
      </c>
      <c r="Y77" s="32">
        <f t="shared" si="252"/>
        <v>127.83626331823517</v>
      </c>
      <c r="Z77" s="32">
        <f t="shared" si="253"/>
        <v>123.25497457719484</v>
      </c>
      <c r="AA77" s="32">
        <f t="shared" si="254"/>
        <v>119.21853197592421</v>
      </c>
      <c r="AB77" s="32">
        <f t="shared" si="255"/>
        <v>115.69749175042315</v>
      </c>
      <c r="AC77" s="32">
        <f t="shared" si="256"/>
        <v>112.65695773678323</v>
      </c>
      <c r="AD77" s="32">
        <f t="shared" si="257"/>
        <v>110.05698232030863</v>
      </c>
      <c r="AE77" s="32">
        <f t="shared" si="258"/>
        <v>107.85301344262039</v>
      </c>
      <c r="AF77" s="32">
        <f t="shared" si="259"/>
        <v>105.99638238448574</v>
      </c>
      <c r="AG77" s="32">
        <f t="shared" si="260"/>
        <v>104.43482701328514</v>
      </c>
      <c r="AH77" s="32">
        <f t="shared" si="261"/>
        <v>103.11304521014017</v>
      </c>
      <c r="AI77" s="32">
        <f t="shared" si="262"/>
        <v>101.9732732550159</v>
      </c>
      <c r="AJ77" s="32">
        <f t="shared" si="263"/>
        <v>100.95588403142659</v>
      </c>
      <c r="AK77" s="31">
        <f t="shared" si="141"/>
        <v>100</v>
      </c>
      <c r="AL77" s="55"/>
      <c r="AM77" s="22">
        <v>9.0000000000000011E-2</v>
      </c>
      <c r="AN77" s="18">
        <f t="shared" si="142"/>
        <v>-1076400000</v>
      </c>
      <c r="AO77" s="20">
        <f t="shared" si="143"/>
        <v>-1031755649.5310231</v>
      </c>
      <c r="AP77" s="20">
        <f t="shared" si="144"/>
        <v>-987342209.34313321</v>
      </c>
      <c r="AQ77" s="20">
        <f t="shared" si="145"/>
        <v>-943387890.61387217</v>
      </c>
      <c r="AR77" s="20">
        <f t="shared" si="146"/>
        <v>-900115543.37265563</v>
      </c>
      <c r="AS77" s="20">
        <f t="shared" si="147"/>
        <v>-857740067.83185887</v>
      </c>
      <c r="AT77" s="20">
        <f t="shared" si="148"/>
        <v>-816465933.94946337</v>
      </c>
      <c r="AU77" s="20">
        <f t="shared" si="149"/>
        <v>-776484841.94619203</v>
      </c>
      <c r="AV77" s="20">
        <f t="shared" si="150"/>
        <v>-737973553.76201725</v>
      </c>
      <c r="AW77" s="20">
        <f t="shared" si="151"/>
        <v>-701091922.17868316</v>
      </c>
      <c r="AX77" s="20">
        <f t="shared" si="152"/>
        <v>-665981140.65555549</v>
      </c>
      <c r="AY77" s="20">
        <f t="shared" si="153"/>
        <v>-632762232.93487549</v>
      </c>
      <c r="AZ77" s="20">
        <f t="shared" si="154"/>
        <v>-601534797.28413081</v>
      </c>
      <c r="BA77" s="20">
        <f t="shared" si="155"/>
        <v>-572376015.97358239</v>
      </c>
      <c r="BB77" s="20">
        <f t="shared" si="156"/>
        <v>-545339936.34832907</v>
      </c>
      <c r="BC77" s="20">
        <f t="shared" si="157"/>
        <v>-520457025.75134164</v>
      </c>
      <c r="BD77" s="20">
        <f t="shared" si="158"/>
        <v>-497733998.67997622</v>
      </c>
      <c r="BE77" s="20">
        <f t="shared" si="159"/>
        <v>-477153910.99254698</v>
      </c>
      <c r="BF77" s="20">
        <f t="shared" si="160"/>
        <v>-458676512.78582782</v>
      </c>
      <c r="BG77" s="20">
        <f t="shared" si="161"/>
        <v>-442238848.78297508</v>
      </c>
      <c r="BH77" s="20">
        <f t="shared" si="162"/>
        <v>-427756092.72961599</v>
      </c>
      <c r="BI77" s="20">
        <f t="shared" si="163"/>
        <v>-415122600.40051836</v>
      </c>
      <c r="BJ77" s="20">
        <f t="shared" si="164"/>
        <v>-404213164.35957813</v>
      </c>
      <c r="BK77" s="20">
        <f t="shared" si="165"/>
        <v>-394884452.56526732</v>
      </c>
      <c r="BL77" s="20">
        <f t="shared" si="166"/>
        <v>-386976612.23212194</v>
      </c>
      <c r="BM77" s="20">
        <f t="shared" si="167"/>
        <v>-380315019.99553478</v>
      </c>
      <c r="BN77" s="20">
        <f t="shared" si="168"/>
        <v>-374712159.32366717</v>
      </c>
      <c r="BO77" s="20">
        <f t="shared" si="169"/>
        <v>-369969606.21398294</v>
      </c>
      <c r="BP77" s="20">
        <f t="shared" si="170"/>
        <v>-365880104.43899703</v>
      </c>
      <c r="BQ77" s="20">
        <f t="shared" si="171"/>
        <v>-362229711.90475857</v>
      </c>
      <c r="BR77" s="18">
        <f t="shared" si="172"/>
        <v>-358800000</v>
      </c>
      <c r="BT77" s="52"/>
      <c r="BU77" s="22">
        <v>9.0000000000000011E-2</v>
      </c>
      <c r="BV77" s="18">
        <f t="shared" si="173"/>
        <v>0.40647187995004247</v>
      </c>
      <c r="BW77" s="20">
        <f t="shared" si="174"/>
        <v>0.40647187995004247</v>
      </c>
      <c r="BX77" s="20">
        <f t="shared" si="175"/>
        <v>0.40647187995004247</v>
      </c>
      <c r="BY77" s="20">
        <f t="shared" si="176"/>
        <v>0.40647187995004247</v>
      </c>
      <c r="BZ77" s="20">
        <f t="shared" si="177"/>
        <v>0.40647187995004247</v>
      </c>
      <c r="CA77" s="20">
        <f t="shared" si="178"/>
        <v>0.40647187995004247</v>
      </c>
      <c r="CB77" s="20">
        <f t="shared" si="179"/>
        <v>0.40647187995004247</v>
      </c>
      <c r="CC77" s="20">
        <f t="shared" si="180"/>
        <v>0.40647187995004247</v>
      </c>
      <c r="CD77" s="20">
        <f t="shared" si="181"/>
        <v>0.40647187995004247</v>
      </c>
      <c r="CE77" s="20">
        <f t="shared" si="182"/>
        <v>0.40647187995004247</v>
      </c>
      <c r="CF77" s="20">
        <f t="shared" si="183"/>
        <v>0.40647187995004247</v>
      </c>
      <c r="CG77" s="20">
        <f t="shared" si="184"/>
        <v>0.40647187995004247</v>
      </c>
      <c r="CH77" s="20">
        <f t="shared" si="185"/>
        <v>0.40647187995004247</v>
      </c>
      <c r="CI77" s="20">
        <f t="shared" si="186"/>
        <v>0.40647187995004247</v>
      </c>
      <c r="CJ77" s="20">
        <f t="shared" si="187"/>
        <v>0.40647187995004247</v>
      </c>
      <c r="CK77" s="20">
        <f t="shared" si="188"/>
        <v>0.40647187995004247</v>
      </c>
      <c r="CL77" s="20">
        <f t="shared" si="189"/>
        <v>0.40647187995004247</v>
      </c>
      <c r="CM77" s="20">
        <f t="shared" si="190"/>
        <v>0.40647187995004247</v>
      </c>
      <c r="CN77" s="20">
        <f t="shared" si="191"/>
        <v>0.40647187995004247</v>
      </c>
      <c r="CO77" s="20">
        <f t="shared" si="192"/>
        <v>0.40647187995004247</v>
      </c>
      <c r="CP77" s="20">
        <f t="shared" si="193"/>
        <v>0.40647187995004247</v>
      </c>
      <c r="CQ77" s="20">
        <f t="shared" si="194"/>
        <v>0.40647187995004247</v>
      </c>
      <c r="CR77" s="20">
        <f t="shared" si="195"/>
        <v>0.40647187995004247</v>
      </c>
      <c r="CS77" s="20">
        <f t="shared" si="196"/>
        <v>0.40647187995004247</v>
      </c>
      <c r="CT77" s="20">
        <f t="shared" si="197"/>
        <v>0.40647187995004247</v>
      </c>
      <c r="CU77" s="20">
        <f t="shared" si="198"/>
        <v>0.40647187995004247</v>
      </c>
      <c r="CV77" s="20">
        <f t="shared" si="199"/>
        <v>0.40647187995004247</v>
      </c>
      <c r="CW77" s="20">
        <f t="shared" si="200"/>
        <v>0.40647187995004247</v>
      </c>
      <c r="CX77" s="20">
        <f t="shared" si="201"/>
        <v>0.40647187995004247</v>
      </c>
      <c r="CY77" s="20">
        <f t="shared" si="202"/>
        <v>0.40647187995004247</v>
      </c>
      <c r="CZ77" s="18">
        <f t="shared" si="203"/>
        <v>0.40647187995004247</v>
      </c>
      <c r="DB77" s="52"/>
      <c r="DC77" s="22">
        <v>9.0000000000000011E-2</v>
      </c>
      <c r="DD77" s="18">
        <f t="shared" si="204"/>
        <v>178.05843601498725</v>
      </c>
      <c r="DE77" s="20">
        <f t="shared" si="205"/>
        <v>170.67335312627401</v>
      </c>
      <c r="DF77" s="20">
        <f t="shared" si="206"/>
        <v>163.32646749091458</v>
      </c>
      <c r="DG77" s="20">
        <f t="shared" si="207"/>
        <v>156.05552987568186</v>
      </c>
      <c r="DH77" s="20">
        <f t="shared" si="208"/>
        <v>148.89740420449229</v>
      </c>
      <c r="DI77" s="20">
        <f t="shared" si="209"/>
        <v>141.88763933995716</v>
      </c>
      <c r="DJ77" s="20">
        <f t="shared" si="210"/>
        <v>135.06005876863375</v>
      </c>
      <c r="DK77" s="20">
        <f t="shared" si="211"/>
        <v>128.44637360301331</v>
      </c>
      <c r="DL77" s="20">
        <f t="shared" si="212"/>
        <v>122.07582386035573</v>
      </c>
      <c r="DM77" s="20">
        <f t="shared" si="213"/>
        <v>115.97485243949971</v>
      </c>
      <c r="DN77" s="20">
        <f t="shared" si="214"/>
        <v>110.16681560814332</v>
      </c>
      <c r="DO77" s="20">
        <f t="shared" si="215"/>
        <v>104.67173315285673</v>
      </c>
      <c r="DP77" s="20">
        <f t="shared" si="216"/>
        <v>99.506080651249306</v>
      </c>
      <c r="DQ77" s="20">
        <f t="shared" si="217"/>
        <v>94.682625619421657</v>
      </c>
      <c r="DR77" s="20">
        <f t="shared" si="218"/>
        <v>90.210308586674287</v>
      </c>
      <c r="DS77" s="20">
        <f t="shared" si="219"/>
        <v>86.094169470731941</v>
      </c>
      <c r="DT77" s="20">
        <f t="shared" si="220"/>
        <v>82.33531898591815</v>
      </c>
      <c r="DU77" s="20">
        <f t="shared" si="221"/>
        <v>78.930954226837002</v>
      </c>
      <c r="DV77" s="20">
        <f t="shared" si="222"/>
        <v>75.874417041483468</v>
      </c>
      <c r="DW77" s="20">
        <f t="shared" si="223"/>
        <v>73.155293347607767</v>
      </c>
      <c r="DX77" s="20">
        <f t="shared" si="224"/>
        <v>70.759551158786053</v>
      </c>
      <c r="DY77" s="20">
        <f t="shared" si="225"/>
        <v>68.669714773124127</v>
      </c>
      <c r="DZ77" s="20">
        <f t="shared" si="226"/>
        <v>66.865072336060464</v>
      </c>
      <c r="EA77" s="20">
        <f t="shared" si="227"/>
        <v>65.321913814944196</v>
      </c>
      <c r="EB77" s="20">
        <f t="shared" si="228"/>
        <v>64.013796310321283</v>
      </c>
      <c r="EC77" s="20">
        <f t="shared" si="229"/>
        <v>62.911833568760258</v>
      </c>
      <c r="ED77" s="20">
        <f t="shared" si="230"/>
        <v>61.985006544937661</v>
      </c>
      <c r="EE77" s="20">
        <f t="shared" si="231"/>
        <v>61.200491876200779</v>
      </c>
      <c r="EF77" s="20">
        <f t="shared" si="232"/>
        <v>60.524005170390197</v>
      </c>
      <c r="EG77" s="20">
        <f t="shared" si="233"/>
        <v>59.920156057154152</v>
      </c>
      <c r="EH77" s="18">
        <f t="shared" si="234"/>
        <v>59.352812004995762</v>
      </c>
    </row>
    <row r="78" spans="5:138" x14ac:dyDescent="0.3">
      <c r="E78" s="54"/>
      <c r="F78" s="22">
        <v>8.666666666666667E-2</v>
      </c>
      <c r="G78" s="31">
        <f t="shared" si="139"/>
        <v>300</v>
      </c>
      <c r="H78" s="32">
        <f t="shared" si="235"/>
        <v>287.55731592280472</v>
      </c>
      <c r="I78" s="32">
        <f t="shared" si="236"/>
        <v>275.17898811124115</v>
      </c>
      <c r="J78" s="32">
        <f t="shared" si="237"/>
        <v>262.92862057242814</v>
      </c>
      <c r="K78" s="32">
        <f t="shared" si="238"/>
        <v>250.86832312504339</v>
      </c>
      <c r="L78" s="32">
        <f t="shared" si="239"/>
        <v>239.05798991969311</v>
      </c>
      <c r="M78" s="32">
        <f t="shared" si="240"/>
        <v>227.55460812415373</v>
      </c>
      <c r="N78" s="32">
        <f t="shared" si="241"/>
        <v>216.41160589358753</v>
      </c>
      <c r="O78" s="32">
        <f t="shared" si="242"/>
        <v>205.67824798272497</v>
      </c>
      <c r="P78" s="32">
        <f t="shared" si="243"/>
        <v>195.39908644890835</v>
      </c>
      <c r="Q78" s="32">
        <f t="shared" si="244"/>
        <v>185.61347286944135</v>
      </c>
      <c r="R78" s="32">
        <f t="shared" si="245"/>
        <v>176.35513738430194</v>
      </c>
      <c r="S78" s="32">
        <f t="shared" si="246"/>
        <v>167.65183870795175</v>
      </c>
      <c r="T78" s="32">
        <f t="shared" si="247"/>
        <v>159.5250880639862</v>
      </c>
      <c r="U78" s="32">
        <f t="shared" si="248"/>
        <v>151.98994881503043</v>
      </c>
      <c r="V78" s="32">
        <f t="shared" si="249"/>
        <v>145.05491241676191</v>
      </c>
      <c r="W78" s="32">
        <f t="shared" si="250"/>
        <v>138.72185024525535</v>
      </c>
      <c r="X78" s="32">
        <f t="shared" si="251"/>
        <v>132.98603985299525</v>
      </c>
      <c r="Y78" s="32">
        <f t="shared" si="252"/>
        <v>127.83626331823517</v>
      </c>
      <c r="Z78" s="32">
        <f t="shared" si="253"/>
        <v>123.25497457719484</v>
      </c>
      <c r="AA78" s="32">
        <f t="shared" si="254"/>
        <v>119.21853197592421</v>
      </c>
      <c r="AB78" s="32">
        <f t="shared" si="255"/>
        <v>115.69749175042315</v>
      </c>
      <c r="AC78" s="32">
        <f t="shared" si="256"/>
        <v>112.65695773678323</v>
      </c>
      <c r="AD78" s="32">
        <f t="shared" si="257"/>
        <v>110.05698232030863</v>
      </c>
      <c r="AE78" s="32">
        <f t="shared" si="258"/>
        <v>107.85301344262039</v>
      </c>
      <c r="AF78" s="32">
        <f t="shared" si="259"/>
        <v>105.99638238448574</v>
      </c>
      <c r="AG78" s="32">
        <f t="shared" si="260"/>
        <v>104.43482701328514</v>
      </c>
      <c r="AH78" s="32">
        <f t="shared" si="261"/>
        <v>103.11304521014017</v>
      </c>
      <c r="AI78" s="32">
        <f t="shared" si="262"/>
        <v>101.9732732550159</v>
      </c>
      <c r="AJ78" s="32">
        <f t="shared" si="263"/>
        <v>100.95588403142659</v>
      </c>
      <c r="AK78" s="31">
        <f t="shared" si="141"/>
        <v>100</v>
      </c>
      <c r="AL78" s="55"/>
      <c r="AM78" s="22">
        <v>8.666666666666667E-2</v>
      </c>
      <c r="AN78" s="18">
        <f t="shared" si="142"/>
        <v>-1076400000</v>
      </c>
      <c r="AO78" s="20">
        <f t="shared" si="143"/>
        <v>-1031755649.5310231</v>
      </c>
      <c r="AP78" s="20">
        <f t="shared" si="144"/>
        <v>-987342209.34313321</v>
      </c>
      <c r="AQ78" s="20">
        <f t="shared" si="145"/>
        <v>-943387890.61387217</v>
      </c>
      <c r="AR78" s="20">
        <f t="shared" si="146"/>
        <v>-900115543.37265563</v>
      </c>
      <c r="AS78" s="20">
        <f t="shared" si="147"/>
        <v>-857740067.83185887</v>
      </c>
      <c r="AT78" s="20">
        <f t="shared" si="148"/>
        <v>-816465933.94946337</v>
      </c>
      <c r="AU78" s="20">
        <f t="shared" si="149"/>
        <v>-776484841.94619203</v>
      </c>
      <c r="AV78" s="20">
        <f t="shared" si="150"/>
        <v>-737973553.76201725</v>
      </c>
      <c r="AW78" s="20">
        <f t="shared" si="151"/>
        <v>-701091922.17868316</v>
      </c>
      <c r="AX78" s="20">
        <f t="shared" si="152"/>
        <v>-665981140.65555549</v>
      </c>
      <c r="AY78" s="20">
        <f t="shared" si="153"/>
        <v>-632762232.93487549</v>
      </c>
      <c r="AZ78" s="20">
        <f t="shared" si="154"/>
        <v>-601534797.28413081</v>
      </c>
      <c r="BA78" s="20">
        <f t="shared" si="155"/>
        <v>-572376015.97358239</v>
      </c>
      <c r="BB78" s="20">
        <f t="shared" si="156"/>
        <v>-545339936.34832907</v>
      </c>
      <c r="BC78" s="20">
        <f t="shared" si="157"/>
        <v>-520457025.75134164</v>
      </c>
      <c r="BD78" s="20">
        <f t="shared" si="158"/>
        <v>-497733998.67997622</v>
      </c>
      <c r="BE78" s="20">
        <f t="shared" si="159"/>
        <v>-477153910.99254698</v>
      </c>
      <c r="BF78" s="20">
        <f t="shared" si="160"/>
        <v>-458676512.78582782</v>
      </c>
      <c r="BG78" s="20">
        <f t="shared" si="161"/>
        <v>-442238848.78297508</v>
      </c>
      <c r="BH78" s="20">
        <f t="shared" si="162"/>
        <v>-427756092.72961599</v>
      </c>
      <c r="BI78" s="20">
        <f t="shared" si="163"/>
        <v>-415122600.40051836</v>
      </c>
      <c r="BJ78" s="20">
        <f t="shared" si="164"/>
        <v>-404213164.35957813</v>
      </c>
      <c r="BK78" s="20">
        <f t="shared" si="165"/>
        <v>-394884452.56526732</v>
      </c>
      <c r="BL78" s="20">
        <f t="shared" si="166"/>
        <v>-386976612.23212194</v>
      </c>
      <c r="BM78" s="20">
        <f t="shared" si="167"/>
        <v>-380315019.99553478</v>
      </c>
      <c r="BN78" s="20">
        <f t="shared" si="168"/>
        <v>-374712159.32366717</v>
      </c>
      <c r="BO78" s="20">
        <f t="shared" si="169"/>
        <v>-369969606.21398294</v>
      </c>
      <c r="BP78" s="20">
        <f t="shared" si="170"/>
        <v>-365880104.43899703</v>
      </c>
      <c r="BQ78" s="20">
        <f t="shared" si="171"/>
        <v>-362229711.90475857</v>
      </c>
      <c r="BR78" s="18">
        <f t="shared" si="172"/>
        <v>-358800000</v>
      </c>
      <c r="BT78" s="52"/>
      <c r="BU78" s="22">
        <v>8.666666666666667E-2</v>
      </c>
      <c r="BV78" s="18">
        <f t="shared" si="173"/>
        <v>0.40647187995004247</v>
      </c>
      <c r="BW78" s="20">
        <f t="shared" si="174"/>
        <v>0.40647187995004247</v>
      </c>
      <c r="BX78" s="20">
        <f t="shared" si="175"/>
        <v>0.40647187995004247</v>
      </c>
      <c r="BY78" s="20">
        <f t="shared" si="176"/>
        <v>0.40647187995004247</v>
      </c>
      <c r="BZ78" s="20">
        <f t="shared" si="177"/>
        <v>0.40647187995004247</v>
      </c>
      <c r="CA78" s="20">
        <f t="shared" si="178"/>
        <v>0.40647187995004247</v>
      </c>
      <c r="CB78" s="20">
        <f t="shared" si="179"/>
        <v>0.40647187995004247</v>
      </c>
      <c r="CC78" s="20">
        <f t="shared" si="180"/>
        <v>0.40647187995004247</v>
      </c>
      <c r="CD78" s="20">
        <f t="shared" si="181"/>
        <v>0.40647187995004247</v>
      </c>
      <c r="CE78" s="20">
        <f t="shared" si="182"/>
        <v>0.40647187995004247</v>
      </c>
      <c r="CF78" s="20">
        <f t="shared" si="183"/>
        <v>0.40647187995004247</v>
      </c>
      <c r="CG78" s="20">
        <f t="shared" si="184"/>
        <v>0.40647187995004247</v>
      </c>
      <c r="CH78" s="20">
        <f t="shared" si="185"/>
        <v>0.40647187995004247</v>
      </c>
      <c r="CI78" s="20">
        <f t="shared" si="186"/>
        <v>0.40647187995004247</v>
      </c>
      <c r="CJ78" s="20">
        <f t="shared" si="187"/>
        <v>0.40647187995004247</v>
      </c>
      <c r="CK78" s="20">
        <f t="shared" si="188"/>
        <v>0.40647187995004247</v>
      </c>
      <c r="CL78" s="20">
        <f t="shared" si="189"/>
        <v>0.40647187995004247</v>
      </c>
      <c r="CM78" s="20">
        <f t="shared" si="190"/>
        <v>0.40647187995004247</v>
      </c>
      <c r="CN78" s="20">
        <f t="shared" si="191"/>
        <v>0.40647187995004247</v>
      </c>
      <c r="CO78" s="20">
        <f t="shared" si="192"/>
        <v>0.40647187995004247</v>
      </c>
      <c r="CP78" s="20">
        <f t="shared" si="193"/>
        <v>0.40647187995004247</v>
      </c>
      <c r="CQ78" s="20">
        <f t="shared" si="194"/>
        <v>0.40647187995004247</v>
      </c>
      <c r="CR78" s="20">
        <f t="shared" si="195"/>
        <v>0.40647187995004247</v>
      </c>
      <c r="CS78" s="20">
        <f t="shared" si="196"/>
        <v>0.40647187995004247</v>
      </c>
      <c r="CT78" s="20">
        <f t="shared" si="197"/>
        <v>0.40647187995004247</v>
      </c>
      <c r="CU78" s="20">
        <f t="shared" si="198"/>
        <v>0.40647187995004247</v>
      </c>
      <c r="CV78" s="20">
        <f t="shared" si="199"/>
        <v>0.40647187995004247</v>
      </c>
      <c r="CW78" s="20">
        <f t="shared" si="200"/>
        <v>0.40647187995004247</v>
      </c>
      <c r="CX78" s="20">
        <f t="shared" si="201"/>
        <v>0.40647187995004247</v>
      </c>
      <c r="CY78" s="20">
        <f t="shared" si="202"/>
        <v>0.40647187995004247</v>
      </c>
      <c r="CZ78" s="18">
        <f t="shared" si="203"/>
        <v>0.40647187995004247</v>
      </c>
      <c r="DB78" s="52"/>
      <c r="DC78" s="22">
        <v>8.666666666666667E-2</v>
      </c>
      <c r="DD78" s="18">
        <f t="shared" si="204"/>
        <v>178.05843601498725</v>
      </c>
      <c r="DE78" s="20">
        <f t="shared" si="205"/>
        <v>170.67335312627401</v>
      </c>
      <c r="DF78" s="20">
        <f t="shared" si="206"/>
        <v>163.32646749091458</v>
      </c>
      <c r="DG78" s="20">
        <f t="shared" si="207"/>
        <v>156.05552987568186</v>
      </c>
      <c r="DH78" s="20">
        <f t="shared" si="208"/>
        <v>148.89740420449229</v>
      </c>
      <c r="DI78" s="20">
        <f t="shared" si="209"/>
        <v>141.88763933995716</v>
      </c>
      <c r="DJ78" s="20">
        <f t="shared" si="210"/>
        <v>135.06005876863375</v>
      </c>
      <c r="DK78" s="20">
        <f t="shared" si="211"/>
        <v>128.44637360301331</v>
      </c>
      <c r="DL78" s="20">
        <f t="shared" si="212"/>
        <v>122.07582386035573</v>
      </c>
      <c r="DM78" s="20">
        <f t="shared" si="213"/>
        <v>115.97485243949971</v>
      </c>
      <c r="DN78" s="20">
        <f t="shared" si="214"/>
        <v>110.16681560814332</v>
      </c>
      <c r="DO78" s="20">
        <f t="shared" si="215"/>
        <v>104.67173315285673</v>
      </c>
      <c r="DP78" s="20">
        <f t="shared" si="216"/>
        <v>99.506080651249306</v>
      </c>
      <c r="DQ78" s="20">
        <f t="shared" si="217"/>
        <v>94.682625619421657</v>
      </c>
      <c r="DR78" s="20">
        <f t="shared" si="218"/>
        <v>90.210308586674287</v>
      </c>
      <c r="DS78" s="20">
        <f t="shared" si="219"/>
        <v>86.094169470731941</v>
      </c>
      <c r="DT78" s="20">
        <f t="shared" si="220"/>
        <v>82.33531898591815</v>
      </c>
      <c r="DU78" s="20">
        <f t="shared" si="221"/>
        <v>78.930954226837002</v>
      </c>
      <c r="DV78" s="20">
        <f t="shared" si="222"/>
        <v>75.874417041483468</v>
      </c>
      <c r="DW78" s="20">
        <f t="shared" si="223"/>
        <v>73.155293347607767</v>
      </c>
      <c r="DX78" s="20">
        <f t="shared" si="224"/>
        <v>70.759551158786053</v>
      </c>
      <c r="DY78" s="20">
        <f t="shared" si="225"/>
        <v>68.669714773124127</v>
      </c>
      <c r="DZ78" s="20">
        <f t="shared" si="226"/>
        <v>66.865072336060464</v>
      </c>
      <c r="EA78" s="20">
        <f t="shared" si="227"/>
        <v>65.321913814944196</v>
      </c>
      <c r="EB78" s="20">
        <f t="shared" si="228"/>
        <v>64.013796310321283</v>
      </c>
      <c r="EC78" s="20">
        <f t="shared" si="229"/>
        <v>62.911833568760258</v>
      </c>
      <c r="ED78" s="20">
        <f t="shared" si="230"/>
        <v>61.985006544937661</v>
      </c>
      <c r="EE78" s="20">
        <f t="shared" si="231"/>
        <v>61.200491876200779</v>
      </c>
      <c r="EF78" s="20">
        <f t="shared" si="232"/>
        <v>60.524005170390197</v>
      </c>
      <c r="EG78" s="20">
        <f t="shared" si="233"/>
        <v>59.920156057154152</v>
      </c>
      <c r="EH78" s="18">
        <f t="shared" si="234"/>
        <v>59.352812004995762</v>
      </c>
    </row>
    <row r="79" spans="5:138" x14ac:dyDescent="0.3">
      <c r="E79" s="54"/>
      <c r="F79" s="22">
        <v>8.3333333333333343E-2</v>
      </c>
      <c r="G79" s="31">
        <f t="shared" si="139"/>
        <v>300</v>
      </c>
      <c r="H79" s="32">
        <f t="shared" si="235"/>
        <v>287.55731592280472</v>
      </c>
      <c r="I79" s="32">
        <f t="shared" si="236"/>
        <v>275.17898811124115</v>
      </c>
      <c r="J79" s="32">
        <f t="shared" si="237"/>
        <v>262.92862057242814</v>
      </c>
      <c r="K79" s="32">
        <f t="shared" si="238"/>
        <v>250.86832312504339</v>
      </c>
      <c r="L79" s="32">
        <f t="shared" si="239"/>
        <v>239.05798991969311</v>
      </c>
      <c r="M79" s="32">
        <f t="shared" si="240"/>
        <v>227.55460812415373</v>
      </c>
      <c r="N79" s="32">
        <f t="shared" si="241"/>
        <v>216.41160589358753</v>
      </c>
      <c r="O79" s="32">
        <f t="shared" si="242"/>
        <v>205.67824798272497</v>
      </c>
      <c r="P79" s="32">
        <f t="shared" si="243"/>
        <v>195.39908644890835</v>
      </c>
      <c r="Q79" s="32">
        <f t="shared" si="244"/>
        <v>185.61347286944135</v>
      </c>
      <c r="R79" s="32">
        <f t="shared" si="245"/>
        <v>176.35513738430194</v>
      </c>
      <c r="S79" s="32">
        <f t="shared" si="246"/>
        <v>167.65183870795175</v>
      </c>
      <c r="T79" s="32">
        <f t="shared" si="247"/>
        <v>159.5250880639862</v>
      </c>
      <c r="U79" s="32">
        <f t="shared" si="248"/>
        <v>151.98994881503043</v>
      </c>
      <c r="V79" s="32">
        <f t="shared" si="249"/>
        <v>145.05491241676191</v>
      </c>
      <c r="W79" s="32">
        <f t="shared" si="250"/>
        <v>138.72185024525535</v>
      </c>
      <c r="X79" s="32">
        <f t="shared" si="251"/>
        <v>132.98603985299525</v>
      </c>
      <c r="Y79" s="32">
        <f t="shared" si="252"/>
        <v>127.83626331823517</v>
      </c>
      <c r="Z79" s="32">
        <f t="shared" si="253"/>
        <v>123.25497457719484</v>
      </c>
      <c r="AA79" s="32">
        <f t="shared" si="254"/>
        <v>119.21853197592421</v>
      </c>
      <c r="AB79" s="32">
        <f t="shared" si="255"/>
        <v>115.69749175042315</v>
      </c>
      <c r="AC79" s="32">
        <f t="shared" si="256"/>
        <v>112.65695773678323</v>
      </c>
      <c r="AD79" s="32">
        <f t="shared" si="257"/>
        <v>110.05698232030863</v>
      </c>
      <c r="AE79" s="32">
        <f t="shared" si="258"/>
        <v>107.85301344262039</v>
      </c>
      <c r="AF79" s="32">
        <f t="shared" si="259"/>
        <v>105.99638238448574</v>
      </c>
      <c r="AG79" s="32">
        <f t="shared" si="260"/>
        <v>104.43482701328514</v>
      </c>
      <c r="AH79" s="32">
        <f t="shared" si="261"/>
        <v>103.11304521014017</v>
      </c>
      <c r="AI79" s="32">
        <f t="shared" si="262"/>
        <v>101.9732732550159</v>
      </c>
      <c r="AJ79" s="32">
        <f t="shared" si="263"/>
        <v>100.95588403142659</v>
      </c>
      <c r="AK79" s="31">
        <f t="shared" si="141"/>
        <v>100</v>
      </c>
      <c r="AL79" s="55"/>
      <c r="AM79" s="22">
        <v>8.3333333333333343E-2</v>
      </c>
      <c r="AN79" s="18">
        <f t="shared" si="142"/>
        <v>-1076400000</v>
      </c>
      <c r="AO79" s="20">
        <f t="shared" si="143"/>
        <v>-1031755649.5310231</v>
      </c>
      <c r="AP79" s="20">
        <f t="shared" si="144"/>
        <v>-987342209.34313321</v>
      </c>
      <c r="AQ79" s="20">
        <f t="shared" si="145"/>
        <v>-943387890.61387217</v>
      </c>
      <c r="AR79" s="20">
        <f t="shared" si="146"/>
        <v>-900115543.37265563</v>
      </c>
      <c r="AS79" s="20">
        <f t="shared" si="147"/>
        <v>-857740067.83185887</v>
      </c>
      <c r="AT79" s="20">
        <f t="shared" si="148"/>
        <v>-816465933.94946337</v>
      </c>
      <c r="AU79" s="20">
        <f t="shared" si="149"/>
        <v>-776484841.94619203</v>
      </c>
      <c r="AV79" s="20">
        <f t="shared" si="150"/>
        <v>-737973553.76201725</v>
      </c>
      <c r="AW79" s="20">
        <f t="shared" si="151"/>
        <v>-701091922.17868316</v>
      </c>
      <c r="AX79" s="20">
        <f t="shared" si="152"/>
        <v>-665981140.65555549</v>
      </c>
      <c r="AY79" s="20">
        <f t="shared" si="153"/>
        <v>-632762232.93487549</v>
      </c>
      <c r="AZ79" s="20">
        <f t="shared" si="154"/>
        <v>-601534797.28413081</v>
      </c>
      <c r="BA79" s="20">
        <f t="shared" si="155"/>
        <v>-572376015.97358239</v>
      </c>
      <c r="BB79" s="20">
        <f t="shared" si="156"/>
        <v>-545339936.34832907</v>
      </c>
      <c r="BC79" s="20">
        <f t="shared" si="157"/>
        <v>-520457025.75134164</v>
      </c>
      <c r="BD79" s="20">
        <f t="shared" si="158"/>
        <v>-497733998.67997622</v>
      </c>
      <c r="BE79" s="20">
        <f t="shared" si="159"/>
        <v>-477153910.99254698</v>
      </c>
      <c r="BF79" s="20">
        <f t="shared" si="160"/>
        <v>-458676512.78582782</v>
      </c>
      <c r="BG79" s="20">
        <f t="shared" si="161"/>
        <v>-442238848.78297508</v>
      </c>
      <c r="BH79" s="20">
        <f t="shared" si="162"/>
        <v>-427756092.72961599</v>
      </c>
      <c r="BI79" s="20">
        <f t="shared" si="163"/>
        <v>-415122600.40051836</v>
      </c>
      <c r="BJ79" s="20">
        <f t="shared" si="164"/>
        <v>-404213164.35957813</v>
      </c>
      <c r="BK79" s="20">
        <f t="shared" si="165"/>
        <v>-394884452.56526732</v>
      </c>
      <c r="BL79" s="20">
        <f t="shared" si="166"/>
        <v>-386976612.23212194</v>
      </c>
      <c r="BM79" s="20">
        <f t="shared" si="167"/>
        <v>-380315019.99553478</v>
      </c>
      <c r="BN79" s="20">
        <f t="shared" si="168"/>
        <v>-374712159.32366717</v>
      </c>
      <c r="BO79" s="20">
        <f t="shared" si="169"/>
        <v>-369969606.21398294</v>
      </c>
      <c r="BP79" s="20">
        <f t="shared" si="170"/>
        <v>-365880104.43899703</v>
      </c>
      <c r="BQ79" s="20">
        <f t="shared" si="171"/>
        <v>-362229711.90475857</v>
      </c>
      <c r="BR79" s="18">
        <f t="shared" si="172"/>
        <v>-358800000</v>
      </c>
      <c r="BT79" s="52"/>
      <c r="BU79" s="22">
        <v>8.3333333333333343E-2</v>
      </c>
      <c r="BV79" s="18">
        <f t="shared" si="173"/>
        <v>0.40647187995004247</v>
      </c>
      <c r="BW79" s="20">
        <f t="shared" si="174"/>
        <v>0.40647187995004247</v>
      </c>
      <c r="BX79" s="20">
        <f t="shared" si="175"/>
        <v>0.40647187995004247</v>
      </c>
      <c r="BY79" s="20">
        <f t="shared" si="176"/>
        <v>0.40647187995004247</v>
      </c>
      <c r="BZ79" s="20">
        <f t="shared" si="177"/>
        <v>0.40647187995004247</v>
      </c>
      <c r="CA79" s="20">
        <f t="shared" si="178"/>
        <v>0.40647187995004247</v>
      </c>
      <c r="CB79" s="20">
        <f t="shared" si="179"/>
        <v>0.40647187995004247</v>
      </c>
      <c r="CC79" s="20">
        <f t="shared" si="180"/>
        <v>0.40647187995004247</v>
      </c>
      <c r="CD79" s="20">
        <f t="shared" si="181"/>
        <v>0.40647187995004247</v>
      </c>
      <c r="CE79" s="20">
        <f t="shared" si="182"/>
        <v>0.40647187995004247</v>
      </c>
      <c r="CF79" s="20">
        <f t="shared" si="183"/>
        <v>0.40647187995004247</v>
      </c>
      <c r="CG79" s="20">
        <f t="shared" si="184"/>
        <v>0.40647187995004247</v>
      </c>
      <c r="CH79" s="20">
        <f t="shared" si="185"/>
        <v>0.40647187995004247</v>
      </c>
      <c r="CI79" s="20">
        <f t="shared" si="186"/>
        <v>0.40647187995004247</v>
      </c>
      <c r="CJ79" s="20">
        <f t="shared" si="187"/>
        <v>0.40647187995004247</v>
      </c>
      <c r="CK79" s="20">
        <f t="shared" si="188"/>
        <v>0.40647187995004247</v>
      </c>
      <c r="CL79" s="20">
        <f t="shared" si="189"/>
        <v>0.40647187995004247</v>
      </c>
      <c r="CM79" s="20">
        <f t="shared" si="190"/>
        <v>0.40647187995004247</v>
      </c>
      <c r="CN79" s="20">
        <f t="shared" si="191"/>
        <v>0.40647187995004247</v>
      </c>
      <c r="CO79" s="20">
        <f t="shared" si="192"/>
        <v>0.40647187995004247</v>
      </c>
      <c r="CP79" s="20">
        <f t="shared" si="193"/>
        <v>0.40647187995004247</v>
      </c>
      <c r="CQ79" s="20">
        <f t="shared" si="194"/>
        <v>0.40647187995004247</v>
      </c>
      <c r="CR79" s="20">
        <f t="shared" si="195"/>
        <v>0.40647187995004247</v>
      </c>
      <c r="CS79" s="20">
        <f t="shared" si="196"/>
        <v>0.40647187995004247</v>
      </c>
      <c r="CT79" s="20">
        <f t="shared" si="197"/>
        <v>0.40647187995004247</v>
      </c>
      <c r="CU79" s="20">
        <f t="shared" si="198"/>
        <v>0.40647187995004247</v>
      </c>
      <c r="CV79" s="20">
        <f t="shared" si="199"/>
        <v>0.40647187995004247</v>
      </c>
      <c r="CW79" s="20">
        <f t="shared" si="200"/>
        <v>0.40647187995004247</v>
      </c>
      <c r="CX79" s="20">
        <f t="shared" si="201"/>
        <v>0.40647187995004247</v>
      </c>
      <c r="CY79" s="20">
        <f t="shared" si="202"/>
        <v>0.40647187995004247</v>
      </c>
      <c r="CZ79" s="18">
        <f t="shared" si="203"/>
        <v>0.40647187995004247</v>
      </c>
      <c r="DB79" s="52"/>
      <c r="DC79" s="22">
        <v>8.3333333333333343E-2</v>
      </c>
      <c r="DD79" s="18">
        <f t="shared" si="204"/>
        <v>178.05843601498725</v>
      </c>
      <c r="DE79" s="20">
        <f t="shared" si="205"/>
        <v>170.67335312627401</v>
      </c>
      <c r="DF79" s="20">
        <f t="shared" si="206"/>
        <v>163.32646749091458</v>
      </c>
      <c r="DG79" s="20">
        <f t="shared" si="207"/>
        <v>156.05552987568186</v>
      </c>
      <c r="DH79" s="20">
        <f t="shared" si="208"/>
        <v>148.89740420449229</v>
      </c>
      <c r="DI79" s="20">
        <f t="shared" si="209"/>
        <v>141.88763933995716</v>
      </c>
      <c r="DJ79" s="20">
        <f t="shared" si="210"/>
        <v>135.06005876863375</v>
      </c>
      <c r="DK79" s="20">
        <f t="shared" si="211"/>
        <v>128.44637360301331</v>
      </c>
      <c r="DL79" s="20">
        <f t="shared" si="212"/>
        <v>122.07582386035573</v>
      </c>
      <c r="DM79" s="20">
        <f t="shared" si="213"/>
        <v>115.97485243949971</v>
      </c>
      <c r="DN79" s="20">
        <f t="shared" si="214"/>
        <v>110.16681560814332</v>
      </c>
      <c r="DO79" s="20">
        <f t="shared" si="215"/>
        <v>104.67173315285673</v>
      </c>
      <c r="DP79" s="20">
        <f t="shared" si="216"/>
        <v>99.506080651249306</v>
      </c>
      <c r="DQ79" s="20">
        <f t="shared" si="217"/>
        <v>94.682625619421657</v>
      </c>
      <c r="DR79" s="20">
        <f t="shared" si="218"/>
        <v>90.210308586674287</v>
      </c>
      <c r="DS79" s="20">
        <f t="shared" si="219"/>
        <v>86.094169470731941</v>
      </c>
      <c r="DT79" s="20">
        <f t="shared" si="220"/>
        <v>82.33531898591815</v>
      </c>
      <c r="DU79" s="20">
        <f t="shared" si="221"/>
        <v>78.930954226837002</v>
      </c>
      <c r="DV79" s="20">
        <f t="shared" si="222"/>
        <v>75.874417041483468</v>
      </c>
      <c r="DW79" s="20">
        <f t="shared" si="223"/>
        <v>73.155293347607767</v>
      </c>
      <c r="DX79" s="20">
        <f t="shared" si="224"/>
        <v>70.759551158786053</v>
      </c>
      <c r="DY79" s="20">
        <f t="shared" si="225"/>
        <v>68.669714773124127</v>
      </c>
      <c r="DZ79" s="20">
        <f t="shared" si="226"/>
        <v>66.865072336060464</v>
      </c>
      <c r="EA79" s="20">
        <f t="shared" si="227"/>
        <v>65.321913814944196</v>
      </c>
      <c r="EB79" s="20">
        <f t="shared" si="228"/>
        <v>64.013796310321283</v>
      </c>
      <c r="EC79" s="20">
        <f t="shared" si="229"/>
        <v>62.911833568760258</v>
      </c>
      <c r="ED79" s="20">
        <f t="shared" si="230"/>
        <v>61.985006544937661</v>
      </c>
      <c r="EE79" s="20">
        <f t="shared" si="231"/>
        <v>61.200491876200779</v>
      </c>
      <c r="EF79" s="20">
        <f t="shared" si="232"/>
        <v>60.524005170390197</v>
      </c>
      <c r="EG79" s="20">
        <f t="shared" si="233"/>
        <v>59.920156057154152</v>
      </c>
      <c r="EH79" s="18">
        <f t="shared" si="234"/>
        <v>59.352812004995762</v>
      </c>
    </row>
    <row r="80" spans="5:138" x14ac:dyDescent="0.3">
      <c r="E80" s="54"/>
      <c r="F80" s="22">
        <v>0.08</v>
      </c>
      <c r="G80" s="31">
        <f t="shared" si="139"/>
        <v>300</v>
      </c>
      <c r="H80" s="32">
        <f t="shared" si="235"/>
        <v>287.55731592280472</v>
      </c>
      <c r="I80" s="32">
        <f t="shared" si="236"/>
        <v>275.17898811124115</v>
      </c>
      <c r="J80" s="32">
        <f t="shared" si="237"/>
        <v>262.92862057242814</v>
      </c>
      <c r="K80" s="32">
        <f t="shared" si="238"/>
        <v>250.86832312504339</v>
      </c>
      <c r="L80" s="32">
        <f t="shared" si="239"/>
        <v>239.05798991969311</v>
      </c>
      <c r="M80" s="32">
        <f t="shared" si="240"/>
        <v>227.5546081241537</v>
      </c>
      <c r="N80" s="32">
        <f t="shared" si="241"/>
        <v>216.41160589358753</v>
      </c>
      <c r="O80" s="32">
        <f t="shared" si="242"/>
        <v>205.67824798272497</v>
      </c>
      <c r="P80" s="32">
        <f t="shared" si="243"/>
        <v>195.39908644890835</v>
      </c>
      <c r="Q80" s="32">
        <f t="shared" si="244"/>
        <v>185.61347286944132</v>
      </c>
      <c r="R80" s="32">
        <f t="shared" si="245"/>
        <v>176.35513738430194</v>
      </c>
      <c r="S80" s="32">
        <f t="shared" si="246"/>
        <v>167.65183870795175</v>
      </c>
      <c r="T80" s="32">
        <f t="shared" si="247"/>
        <v>159.52508806398617</v>
      </c>
      <c r="U80" s="32">
        <f t="shared" si="248"/>
        <v>151.98994881503043</v>
      </c>
      <c r="V80" s="32">
        <f t="shared" si="249"/>
        <v>145.05491241676191</v>
      </c>
      <c r="W80" s="32">
        <f t="shared" si="250"/>
        <v>138.72185024525535</v>
      </c>
      <c r="X80" s="32">
        <f t="shared" si="251"/>
        <v>132.98603985299525</v>
      </c>
      <c r="Y80" s="32">
        <f t="shared" si="252"/>
        <v>127.83626331823517</v>
      </c>
      <c r="Z80" s="32">
        <f t="shared" si="253"/>
        <v>123.25497457719484</v>
      </c>
      <c r="AA80" s="32">
        <f t="shared" si="254"/>
        <v>119.21853197592421</v>
      </c>
      <c r="AB80" s="32">
        <f t="shared" si="255"/>
        <v>115.69749175042315</v>
      </c>
      <c r="AC80" s="32">
        <f t="shared" si="256"/>
        <v>112.65695773678323</v>
      </c>
      <c r="AD80" s="32">
        <f t="shared" si="257"/>
        <v>110.05698232030863</v>
      </c>
      <c r="AE80" s="32">
        <f t="shared" si="258"/>
        <v>107.85301344262038</v>
      </c>
      <c r="AF80" s="32">
        <f t="shared" si="259"/>
        <v>105.99638238448574</v>
      </c>
      <c r="AG80" s="32">
        <f t="shared" si="260"/>
        <v>104.43482701328514</v>
      </c>
      <c r="AH80" s="32">
        <f t="shared" si="261"/>
        <v>103.11304521014017</v>
      </c>
      <c r="AI80" s="32">
        <f t="shared" si="262"/>
        <v>101.9732732550159</v>
      </c>
      <c r="AJ80" s="32">
        <f t="shared" si="263"/>
        <v>100.95588403142659</v>
      </c>
      <c r="AK80" s="31">
        <f t="shared" si="141"/>
        <v>100</v>
      </c>
      <c r="AL80" s="55"/>
      <c r="AM80" s="22">
        <v>0.08</v>
      </c>
      <c r="AN80" s="18">
        <f t="shared" si="142"/>
        <v>-1076400000</v>
      </c>
      <c r="AO80" s="20">
        <f t="shared" si="143"/>
        <v>-1031755649.5310231</v>
      </c>
      <c r="AP80" s="20">
        <f t="shared" si="144"/>
        <v>-987342209.34313321</v>
      </c>
      <c r="AQ80" s="20">
        <f t="shared" si="145"/>
        <v>-943387890.61387217</v>
      </c>
      <c r="AR80" s="20">
        <f t="shared" si="146"/>
        <v>-900115543.37265563</v>
      </c>
      <c r="AS80" s="20">
        <f t="shared" si="147"/>
        <v>-857740067.83185887</v>
      </c>
      <c r="AT80" s="20">
        <f t="shared" si="148"/>
        <v>-816465933.94946337</v>
      </c>
      <c r="AU80" s="20">
        <f t="shared" si="149"/>
        <v>-776484841.94619203</v>
      </c>
      <c r="AV80" s="20">
        <f t="shared" si="150"/>
        <v>-737973553.76201725</v>
      </c>
      <c r="AW80" s="20">
        <f t="shared" si="151"/>
        <v>-701091922.17868316</v>
      </c>
      <c r="AX80" s="20">
        <f t="shared" si="152"/>
        <v>-665981140.65555537</v>
      </c>
      <c r="AY80" s="20">
        <f t="shared" si="153"/>
        <v>-632762232.93487549</v>
      </c>
      <c r="AZ80" s="20">
        <f t="shared" si="154"/>
        <v>-601534797.28413081</v>
      </c>
      <c r="BA80" s="20">
        <f t="shared" si="155"/>
        <v>-572376015.97358239</v>
      </c>
      <c r="BB80" s="20">
        <f t="shared" si="156"/>
        <v>-545339936.34832907</v>
      </c>
      <c r="BC80" s="20">
        <f t="shared" si="157"/>
        <v>-520457025.75134164</v>
      </c>
      <c r="BD80" s="20">
        <f t="shared" si="158"/>
        <v>-497733998.67997622</v>
      </c>
      <c r="BE80" s="20">
        <f t="shared" si="159"/>
        <v>-477153910.99254698</v>
      </c>
      <c r="BF80" s="20">
        <f t="shared" si="160"/>
        <v>-458676512.78582782</v>
      </c>
      <c r="BG80" s="20">
        <f t="shared" si="161"/>
        <v>-442238848.78297508</v>
      </c>
      <c r="BH80" s="20">
        <f t="shared" si="162"/>
        <v>-427756092.72961599</v>
      </c>
      <c r="BI80" s="20">
        <f t="shared" si="163"/>
        <v>-415122600.40051836</v>
      </c>
      <c r="BJ80" s="20">
        <f t="shared" si="164"/>
        <v>-404213164.35957813</v>
      </c>
      <c r="BK80" s="20">
        <f t="shared" si="165"/>
        <v>-394884452.56526732</v>
      </c>
      <c r="BL80" s="20">
        <f t="shared" si="166"/>
        <v>-386976612.23212194</v>
      </c>
      <c r="BM80" s="20">
        <f t="shared" si="167"/>
        <v>-380315019.99553478</v>
      </c>
      <c r="BN80" s="20">
        <f t="shared" si="168"/>
        <v>-374712159.32366717</v>
      </c>
      <c r="BO80" s="20">
        <f t="shared" si="169"/>
        <v>-369969606.21398294</v>
      </c>
      <c r="BP80" s="20">
        <f t="shared" si="170"/>
        <v>-365880104.43899703</v>
      </c>
      <c r="BQ80" s="20">
        <f t="shared" si="171"/>
        <v>-362229711.90475857</v>
      </c>
      <c r="BR80" s="18">
        <f t="shared" si="172"/>
        <v>-358800000</v>
      </c>
      <c r="BT80" s="52"/>
      <c r="BU80" s="22">
        <v>0.08</v>
      </c>
      <c r="BV80" s="18">
        <f t="shared" si="173"/>
        <v>0.40647187995004247</v>
      </c>
      <c r="BW80" s="20">
        <f t="shared" si="174"/>
        <v>0.40647187995004247</v>
      </c>
      <c r="BX80" s="20">
        <f t="shared" si="175"/>
        <v>0.40647187995004247</v>
      </c>
      <c r="BY80" s="20">
        <f t="shared" si="176"/>
        <v>0.40647187995004247</v>
      </c>
      <c r="BZ80" s="20">
        <f t="shared" si="177"/>
        <v>0.40647187995004247</v>
      </c>
      <c r="CA80" s="20">
        <f t="shared" si="178"/>
        <v>0.40647187995004247</v>
      </c>
      <c r="CB80" s="20">
        <f t="shared" si="179"/>
        <v>0.40647187995004247</v>
      </c>
      <c r="CC80" s="20">
        <f t="shared" si="180"/>
        <v>0.40647187995004247</v>
      </c>
      <c r="CD80" s="20">
        <f t="shared" si="181"/>
        <v>0.40647187995004247</v>
      </c>
      <c r="CE80" s="20">
        <f t="shared" si="182"/>
        <v>0.40647187995004247</v>
      </c>
      <c r="CF80" s="20">
        <f t="shared" si="183"/>
        <v>0.40647187995004247</v>
      </c>
      <c r="CG80" s="20">
        <f t="shared" si="184"/>
        <v>0.40647187995004247</v>
      </c>
      <c r="CH80" s="20">
        <f t="shared" si="185"/>
        <v>0.40647187995004247</v>
      </c>
      <c r="CI80" s="20">
        <f t="shared" si="186"/>
        <v>0.40647187995004247</v>
      </c>
      <c r="CJ80" s="20">
        <f t="shared" si="187"/>
        <v>0.40647187995004247</v>
      </c>
      <c r="CK80" s="20">
        <f t="shared" si="188"/>
        <v>0.40647187995004247</v>
      </c>
      <c r="CL80" s="20">
        <f t="shared" si="189"/>
        <v>0.40647187995004247</v>
      </c>
      <c r="CM80" s="20">
        <f t="shared" si="190"/>
        <v>0.40647187995004247</v>
      </c>
      <c r="CN80" s="20">
        <f t="shared" si="191"/>
        <v>0.40647187995004247</v>
      </c>
      <c r="CO80" s="20">
        <f t="shared" si="192"/>
        <v>0.40647187995004247</v>
      </c>
      <c r="CP80" s="20">
        <f t="shared" si="193"/>
        <v>0.40647187995004247</v>
      </c>
      <c r="CQ80" s="20">
        <f t="shared" si="194"/>
        <v>0.40647187995004247</v>
      </c>
      <c r="CR80" s="20">
        <f t="shared" si="195"/>
        <v>0.40647187995004247</v>
      </c>
      <c r="CS80" s="20">
        <f t="shared" si="196"/>
        <v>0.40647187995004247</v>
      </c>
      <c r="CT80" s="20">
        <f t="shared" si="197"/>
        <v>0.40647187995004247</v>
      </c>
      <c r="CU80" s="20">
        <f t="shared" si="198"/>
        <v>0.40647187995004247</v>
      </c>
      <c r="CV80" s="20">
        <f t="shared" si="199"/>
        <v>0.40647187995004247</v>
      </c>
      <c r="CW80" s="20">
        <f t="shared" si="200"/>
        <v>0.40647187995004247</v>
      </c>
      <c r="CX80" s="20">
        <f t="shared" si="201"/>
        <v>0.40647187995004247</v>
      </c>
      <c r="CY80" s="20">
        <f t="shared" si="202"/>
        <v>0.40647187995004247</v>
      </c>
      <c r="CZ80" s="18">
        <f t="shared" si="203"/>
        <v>0.40647187995004247</v>
      </c>
      <c r="DB80" s="52"/>
      <c r="DC80" s="22">
        <v>0.08</v>
      </c>
      <c r="DD80" s="18">
        <f t="shared" si="204"/>
        <v>178.05843601498725</v>
      </c>
      <c r="DE80" s="20">
        <f t="shared" si="205"/>
        <v>170.67335312627401</v>
      </c>
      <c r="DF80" s="20">
        <f t="shared" si="206"/>
        <v>163.32646749091458</v>
      </c>
      <c r="DG80" s="20">
        <f t="shared" si="207"/>
        <v>156.05552987568186</v>
      </c>
      <c r="DH80" s="20">
        <f t="shared" si="208"/>
        <v>148.89740420449229</v>
      </c>
      <c r="DI80" s="20">
        <f t="shared" si="209"/>
        <v>141.88763933995716</v>
      </c>
      <c r="DJ80" s="20">
        <f t="shared" si="210"/>
        <v>135.06005876863372</v>
      </c>
      <c r="DK80" s="20">
        <f t="shared" si="211"/>
        <v>128.44637360301331</v>
      </c>
      <c r="DL80" s="20">
        <f t="shared" si="212"/>
        <v>122.07582386035573</v>
      </c>
      <c r="DM80" s="20">
        <f t="shared" si="213"/>
        <v>115.97485243949971</v>
      </c>
      <c r="DN80" s="20">
        <f t="shared" si="214"/>
        <v>110.1668156081433</v>
      </c>
      <c r="DO80" s="20">
        <f t="shared" si="215"/>
        <v>104.67173315285673</v>
      </c>
      <c r="DP80" s="20">
        <f t="shared" si="216"/>
        <v>99.506080651249306</v>
      </c>
      <c r="DQ80" s="20">
        <f t="shared" si="217"/>
        <v>94.682625619421643</v>
      </c>
      <c r="DR80" s="20">
        <f t="shared" si="218"/>
        <v>90.210308586674273</v>
      </c>
      <c r="DS80" s="20">
        <f t="shared" si="219"/>
        <v>86.094169470731927</v>
      </c>
      <c r="DT80" s="20">
        <f t="shared" si="220"/>
        <v>82.33531898591815</v>
      </c>
      <c r="DU80" s="20">
        <f t="shared" si="221"/>
        <v>78.930954226837002</v>
      </c>
      <c r="DV80" s="20">
        <f t="shared" si="222"/>
        <v>75.874417041483468</v>
      </c>
      <c r="DW80" s="20">
        <f t="shared" si="223"/>
        <v>73.155293347607767</v>
      </c>
      <c r="DX80" s="20">
        <f t="shared" si="224"/>
        <v>70.759551158786053</v>
      </c>
      <c r="DY80" s="20">
        <f t="shared" si="225"/>
        <v>68.669714773124127</v>
      </c>
      <c r="DZ80" s="20">
        <f t="shared" si="226"/>
        <v>66.865072336060464</v>
      </c>
      <c r="EA80" s="20">
        <f t="shared" si="227"/>
        <v>65.321913814944196</v>
      </c>
      <c r="EB80" s="20">
        <f t="shared" si="228"/>
        <v>64.013796310321268</v>
      </c>
      <c r="EC80" s="20">
        <f t="shared" si="229"/>
        <v>62.911833568760251</v>
      </c>
      <c r="ED80" s="20">
        <f t="shared" si="230"/>
        <v>61.985006544937661</v>
      </c>
      <c r="EE80" s="20">
        <f t="shared" si="231"/>
        <v>61.200491876200779</v>
      </c>
      <c r="EF80" s="20">
        <f t="shared" si="232"/>
        <v>60.524005170390197</v>
      </c>
      <c r="EG80" s="20">
        <f t="shared" si="233"/>
        <v>59.920156057154152</v>
      </c>
      <c r="EH80" s="18">
        <f t="shared" si="234"/>
        <v>59.352812004995762</v>
      </c>
    </row>
    <row r="81" spans="5:138" x14ac:dyDescent="0.3">
      <c r="E81" s="54"/>
      <c r="F81" s="22">
        <v>7.6666666666666675E-2</v>
      </c>
      <c r="G81" s="31">
        <f t="shared" si="139"/>
        <v>300</v>
      </c>
      <c r="H81" s="32">
        <f t="shared" si="235"/>
        <v>287.55731592280472</v>
      </c>
      <c r="I81" s="32">
        <f t="shared" si="236"/>
        <v>275.17898811124115</v>
      </c>
      <c r="J81" s="32">
        <f t="shared" si="237"/>
        <v>262.92862057242814</v>
      </c>
      <c r="K81" s="32">
        <f t="shared" si="238"/>
        <v>250.86832312504339</v>
      </c>
      <c r="L81" s="32">
        <f t="shared" si="239"/>
        <v>239.05798991969311</v>
      </c>
      <c r="M81" s="32">
        <f t="shared" si="240"/>
        <v>227.55460812415367</v>
      </c>
      <c r="N81" s="32">
        <f t="shared" si="241"/>
        <v>216.41160589358753</v>
      </c>
      <c r="O81" s="32">
        <f t="shared" si="242"/>
        <v>205.67824798272494</v>
      </c>
      <c r="P81" s="32">
        <f t="shared" si="243"/>
        <v>195.39908644890835</v>
      </c>
      <c r="Q81" s="32">
        <f t="shared" si="244"/>
        <v>185.6134728694413</v>
      </c>
      <c r="R81" s="32">
        <f t="shared" si="245"/>
        <v>176.35513738430194</v>
      </c>
      <c r="S81" s="32">
        <f t="shared" si="246"/>
        <v>167.65183870795175</v>
      </c>
      <c r="T81" s="32">
        <f t="shared" si="247"/>
        <v>159.52508806398617</v>
      </c>
      <c r="U81" s="32">
        <f t="shared" si="248"/>
        <v>151.9899488150304</v>
      </c>
      <c r="V81" s="32">
        <f t="shared" si="249"/>
        <v>145.05491241676188</v>
      </c>
      <c r="W81" s="32">
        <f t="shared" si="250"/>
        <v>138.72185024525535</v>
      </c>
      <c r="X81" s="32">
        <f t="shared" si="251"/>
        <v>132.98603985299525</v>
      </c>
      <c r="Y81" s="32">
        <f t="shared" si="252"/>
        <v>127.83626331823517</v>
      </c>
      <c r="Z81" s="32">
        <f t="shared" si="253"/>
        <v>123.25497457719484</v>
      </c>
      <c r="AA81" s="32">
        <f t="shared" si="254"/>
        <v>119.21853197592421</v>
      </c>
      <c r="AB81" s="32">
        <f t="shared" si="255"/>
        <v>115.69749175042315</v>
      </c>
      <c r="AC81" s="32">
        <f t="shared" si="256"/>
        <v>112.65695773678321</v>
      </c>
      <c r="AD81" s="32">
        <f t="shared" si="257"/>
        <v>110.05698232030861</v>
      </c>
      <c r="AE81" s="32">
        <f t="shared" si="258"/>
        <v>107.85301344262035</v>
      </c>
      <c r="AF81" s="32">
        <f t="shared" si="259"/>
        <v>105.99638238448571</v>
      </c>
      <c r="AG81" s="32">
        <f t="shared" si="260"/>
        <v>104.43482701328514</v>
      </c>
      <c r="AH81" s="32">
        <f t="shared" si="261"/>
        <v>103.11304521014017</v>
      </c>
      <c r="AI81" s="32">
        <f t="shared" si="262"/>
        <v>101.9732732550159</v>
      </c>
      <c r="AJ81" s="32">
        <f t="shared" si="263"/>
        <v>100.95588403142659</v>
      </c>
      <c r="AK81" s="31">
        <f t="shared" si="141"/>
        <v>100</v>
      </c>
      <c r="AL81" s="55"/>
      <c r="AM81" s="22">
        <v>7.6666666666666675E-2</v>
      </c>
      <c r="AN81" s="18">
        <f t="shared" si="142"/>
        <v>-1076400000</v>
      </c>
      <c r="AO81" s="20">
        <f t="shared" si="143"/>
        <v>-1031755649.5310231</v>
      </c>
      <c r="AP81" s="20">
        <f t="shared" si="144"/>
        <v>-987342209.34313321</v>
      </c>
      <c r="AQ81" s="20">
        <f t="shared" si="145"/>
        <v>-943387890.61387217</v>
      </c>
      <c r="AR81" s="20">
        <f t="shared" si="146"/>
        <v>-900115543.37265563</v>
      </c>
      <c r="AS81" s="20">
        <f t="shared" si="147"/>
        <v>-857740067.83185887</v>
      </c>
      <c r="AT81" s="20">
        <f t="shared" si="148"/>
        <v>-816465933.94946337</v>
      </c>
      <c r="AU81" s="20">
        <f t="shared" si="149"/>
        <v>-776484841.94619203</v>
      </c>
      <c r="AV81" s="20">
        <f t="shared" si="150"/>
        <v>-737973553.76201725</v>
      </c>
      <c r="AW81" s="20">
        <f t="shared" si="151"/>
        <v>-701091922.17868316</v>
      </c>
      <c r="AX81" s="20">
        <f t="shared" si="152"/>
        <v>-665981140.65555525</v>
      </c>
      <c r="AY81" s="20">
        <f t="shared" si="153"/>
        <v>-632762232.93487537</v>
      </c>
      <c r="AZ81" s="20">
        <f t="shared" si="154"/>
        <v>-601534797.28413081</v>
      </c>
      <c r="BA81" s="20">
        <f t="shared" si="155"/>
        <v>-572376015.97358239</v>
      </c>
      <c r="BB81" s="20">
        <f t="shared" si="156"/>
        <v>-545339936.34832907</v>
      </c>
      <c r="BC81" s="20">
        <f t="shared" si="157"/>
        <v>-520457025.75134164</v>
      </c>
      <c r="BD81" s="20">
        <f t="shared" si="158"/>
        <v>-497733998.67997622</v>
      </c>
      <c r="BE81" s="20">
        <f t="shared" si="159"/>
        <v>-477153910.99254698</v>
      </c>
      <c r="BF81" s="20">
        <f t="shared" si="160"/>
        <v>-458676512.78582782</v>
      </c>
      <c r="BG81" s="20">
        <f t="shared" si="161"/>
        <v>-442238848.78297508</v>
      </c>
      <c r="BH81" s="20">
        <f t="shared" si="162"/>
        <v>-427756092.72961599</v>
      </c>
      <c r="BI81" s="20">
        <f t="shared" si="163"/>
        <v>-415122600.40051836</v>
      </c>
      <c r="BJ81" s="20">
        <f t="shared" si="164"/>
        <v>-404213164.35957807</v>
      </c>
      <c r="BK81" s="20">
        <f t="shared" si="165"/>
        <v>-394884452.56526721</v>
      </c>
      <c r="BL81" s="20">
        <f t="shared" si="166"/>
        <v>-386976612.23212183</v>
      </c>
      <c r="BM81" s="20">
        <f t="shared" si="167"/>
        <v>-380315019.99553472</v>
      </c>
      <c r="BN81" s="20">
        <f t="shared" si="168"/>
        <v>-374712159.32366711</v>
      </c>
      <c r="BO81" s="20">
        <f t="shared" si="169"/>
        <v>-369969606.21398294</v>
      </c>
      <c r="BP81" s="20">
        <f t="shared" si="170"/>
        <v>-365880104.43899703</v>
      </c>
      <c r="BQ81" s="20">
        <f t="shared" si="171"/>
        <v>-362229711.90475857</v>
      </c>
      <c r="BR81" s="18">
        <f t="shared" si="172"/>
        <v>-358800000</v>
      </c>
      <c r="BT81" s="52"/>
      <c r="BU81" s="22">
        <v>7.6666666666666675E-2</v>
      </c>
      <c r="BV81" s="18">
        <f t="shared" si="173"/>
        <v>0.40647187995004247</v>
      </c>
      <c r="BW81" s="20">
        <f t="shared" si="174"/>
        <v>0.40647187995004247</v>
      </c>
      <c r="BX81" s="20">
        <f t="shared" si="175"/>
        <v>0.40647187995004247</v>
      </c>
      <c r="BY81" s="20">
        <f t="shared" si="176"/>
        <v>0.40647187995004247</v>
      </c>
      <c r="BZ81" s="20">
        <f t="shared" si="177"/>
        <v>0.40647187995004247</v>
      </c>
      <c r="CA81" s="20">
        <f t="shared" si="178"/>
        <v>0.40647187995004247</v>
      </c>
      <c r="CB81" s="20">
        <f t="shared" si="179"/>
        <v>0.40647187995004247</v>
      </c>
      <c r="CC81" s="20">
        <f t="shared" si="180"/>
        <v>0.40647187995004247</v>
      </c>
      <c r="CD81" s="20">
        <f t="shared" si="181"/>
        <v>0.40647187995004247</v>
      </c>
      <c r="CE81" s="20">
        <f t="shared" si="182"/>
        <v>0.40647187995004247</v>
      </c>
      <c r="CF81" s="20">
        <f t="shared" si="183"/>
        <v>0.40647187995004247</v>
      </c>
      <c r="CG81" s="20">
        <f t="shared" si="184"/>
        <v>0.40647187995004247</v>
      </c>
      <c r="CH81" s="20">
        <f t="shared" si="185"/>
        <v>0.40647187995004247</v>
      </c>
      <c r="CI81" s="20">
        <f t="shared" si="186"/>
        <v>0.40647187995004247</v>
      </c>
      <c r="CJ81" s="20">
        <f t="shared" si="187"/>
        <v>0.40647187995004247</v>
      </c>
      <c r="CK81" s="20">
        <f t="shared" si="188"/>
        <v>0.40647187995004247</v>
      </c>
      <c r="CL81" s="20">
        <f t="shared" si="189"/>
        <v>0.40647187995004247</v>
      </c>
      <c r="CM81" s="20">
        <f t="shared" si="190"/>
        <v>0.40647187995004247</v>
      </c>
      <c r="CN81" s="20">
        <f t="shared" si="191"/>
        <v>0.40647187995004247</v>
      </c>
      <c r="CO81" s="20">
        <f t="shared" si="192"/>
        <v>0.40647187995004247</v>
      </c>
      <c r="CP81" s="20">
        <f t="shared" si="193"/>
        <v>0.40647187995004247</v>
      </c>
      <c r="CQ81" s="20">
        <f t="shared" si="194"/>
        <v>0.40647187995004247</v>
      </c>
      <c r="CR81" s="20">
        <f t="shared" si="195"/>
        <v>0.40647187995004247</v>
      </c>
      <c r="CS81" s="20">
        <f t="shared" si="196"/>
        <v>0.40647187995004247</v>
      </c>
      <c r="CT81" s="20">
        <f t="shared" si="197"/>
        <v>0.40647187995004247</v>
      </c>
      <c r="CU81" s="20">
        <f t="shared" si="198"/>
        <v>0.40647187995004247</v>
      </c>
      <c r="CV81" s="20">
        <f t="shared" si="199"/>
        <v>0.40647187995004247</v>
      </c>
      <c r="CW81" s="20">
        <f t="shared" si="200"/>
        <v>0.40647187995004247</v>
      </c>
      <c r="CX81" s="20">
        <f t="shared" si="201"/>
        <v>0.40647187995004247</v>
      </c>
      <c r="CY81" s="20">
        <f t="shared" si="202"/>
        <v>0.40647187995004247</v>
      </c>
      <c r="CZ81" s="18">
        <f t="shared" si="203"/>
        <v>0.40647187995004247</v>
      </c>
      <c r="DB81" s="52"/>
      <c r="DC81" s="22">
        <v>7.6666666666666675E-2</v>
      </c>
      <c r="DD81" s="18">
        <f t="shared" si="204"/>
        <v>178.05843601498725</v>
      </c>
      <c r="DE81" s="20">
        <f t="shared" si="205"/>
        <v>170.67335312627401</v>
      </c>
      <c r="DF81" s="20">
        <f t="shared" si="206"/>
        <v>163.32646749091458</v>
      </c>
      <c r="DG81" s="20">
        <f t="shared" si="207"/>
        <v>156.05552987568186</v>
      </c>
      <c r="DH81" s="20">
        <f t="shared" si="208"/>
        <v>148.89740420449229</v>
      </c>
      <c r="DI81" s="20">
        <f t="shared" si="209"/>
        <v>141.88763933995716</v>
      </c>
      <c r="DJ81" s="20">
        <f t="shared" si="210"/>
        <v>135.0600587686337</v>
      </c>
      <c r="DK81" s="20">
        <f t="shared" si="211"/>
        <v>128.44637360301331</v>
      </c>
      <c r="DL81" s="20">
        <f t="shared" si="212"/>
        <v>122.07582386035571</v>
      </c>
      <c r="DM81" s="20">
        <f t="shared" si="213"/>
        <v>115.9748524394997</v>
      </c>
      <c r="DN81" s="20">
        <f t="shared" si="214"/>
        <v>110.16681560814327</v>
      </c>
      <c r="DO81" s="20">
        <f t="shared" si="215"/>
        <v>104.6717331528567</v>
      </c>
      <c r="DP81" s="20">
        <f t="shared" si="216"/>
        <v>99.506080651249292</v>
      </c>
      <c r="DQ81" s="20">
        <f t="shared" si="217"/>
        <v>94.682625619421628</v>
      </c>
      <c r="DR81" s="20">
        <f t="shared" si="218"/>
        <v>90.210308586674259</v>
      </c>
      <c r="DS81" s="20">
        <f t="shared" si="219"/>
        <v>86.094169470731913</v>
      </c>
      <c r="DT81" s="20">
        <f t="shared" si="220"/>
        <v>82.33531898591815</v>
      </c>
      <c r="DU81" s="20">
        <f t="shared" si="221"/>
        <v>78.930954226837002</v>
      </c>
      <c r="DV81" s="20">
        <f t="shared" si="222"/>
        <v>75.874417041483468</v>
      </c>
      <c r="DW81" s="20">
        <f t="shared" si="223"/>
        <v>73.155293347607767</v>
      </c>
      <c r="DX81" s="20">
        <f t="shared" si="224"/>
        <v>70.759551158786039</v>
      </c>
      <c r="DY81" s="20">
        <f t="shared" si="225"/>
        <v>68.669714773124127</v>
      </c>
      <c r="DZ81" s="20">
        <f t="shared" si="226"/>
        <v>66.86507233606045</v>
      </c>
      <c r="EA81" s="20">
        <f t="shared" si="227"/>
        <v>65.321913814944168</v>
      </c>
      <c r="EB81" s="20">
        <f t="shared" si="228"/>
        <v>64.013796310321254</v>
      </c>
      <c r="EC81" s="20">
        <f t="shared" si="229"/>
        <v>62.911833568760237</v>
      </c>
      <c r="ED81" s="20">
        <f t="shared" si="230"/>
        <v>61.985006544937661</v>
      </c>
      <c r="EE81" s="20">
        <f t="shared" si="231"/>
        <v>61.200491876200779</v>
      </c>
      <c r="EF81" s="20">
        <f t="shared" si="232"/>
        <v>60.524005170390197</v>
      </c>
      <c r="EG81" s="20">
        <f t="shared" si="233"/>
        <v>59.920156057154152</v>
      </c>
      <c r="EH81" s="18">
        <f t="shared" si="234"/>
        <v>59.352812004995762</v>
      </c>
    </row>
    <row r="82" spans="5:138" x14ac:dyDescent="0.3">
      <c r="E82" s="54"/>
      <c r="F82" s="22">
        <v>7.3333333333333334E-2</v>
      </c>
      <c r="G82" s="31">
        <f t="shared" si="139"/>
        <v>300</v>
      </c>
      <c r="H82" s="32">
        <f t="shared" si="235"/>
        <v>287.55731592280472</v>
      </c>
      <c r="I82" s="32">
        <f t="shared" si="236"/>
        <v>275.1789881112411</v>
      </c>
      <c r="J82" s="32">
        <f t="shared" si="237"/>
        <v>262.92862057242814</v>
      </c>
      <c r="K82" s="32">
        <f t="shared" si="238"/>
        <v>250.86832312504333</v>
      </c>
      <c r="L82" s="32">
        <f t="shared" si="239"/>
        <v>239.05798991969306</v>
      </c>
      <c r="M82" s="32">
        <f t="shared" si="240"/>
        <v>227.55460812415362</v>
      </c>
      <c r="N82" s="32">
        <f t="shared" si="241"/>
        <v>216.41160589358751</v>
      </c>
      <c r="O82" s="32">
        <f t="shared" si="242"/>
        <v>205.67824798272494</v>
      </c>
      <c r="P82" s="32">
        <f t="shared" si="243"/>
        <v>195.39908644890829</v>
      </c>
      <c r="Q82" s="32">
        <f t="shared" si="244"/>
        <v>185.61347286944124</v>
      </c>
      <c r="R82" s="32">
        <f t="shared" si="245"/>
        <v>176.35513738430188</v>
      </c>
      <c r="S82" s="32">
        <f t="shared" si="246"/>
        <v>167.6518387079517</v>
      </c>
      <c r="T82" s="32">
        <f t="shared" si="247"/>
        <v>159.52508806398612</v>
      </c>
      <c r="U82" s="32">
        <f t="shared" si="248"/>
        <v>151.98994881503037</v>
      </c>
      <c r="V82" s="32">
        <f t="shared" si="249"/>
        <v>145.05491241676185</v>
      </c>
      <c r="W82" s="32">
        <f t="shared" si="250"/>
        <v>138.72185024525533</v>
      </c>
      <c r="X82" s="32">
        <f t="shared" si="251"/>
        <v>132.98603985299525</v>
      </c>
      <c r="Y82" s="32">
        <f t="shared" si="252"/>
        <v>127.83626331823515</v>
      </c>
      <c r="Z82" s="32">
        <f t="shared" si="253"/>
        <v>123.25497457719483</v>
      </c>
      <c r="AA82" s="32">
        <f t="shared" si="254"/>
        <v>119.21853197592418</v>
      </c>
      <c r="AB82" s="32">
        <f t="shared" si="255"/>
        <v>115.69749175042315</v>
      </c>
      <c r="AC82" s="32">
        <f t="shared" si="256"/>
        <v>112.6569577367832</v>
      </c>
      <c r="AD82" s="32">
        <f t="shared" si="257"/>
        <v>110.05698232030859</v>
      </c>
      <c r="AE82" s="32">
        <f t="shared" si="258"/>
        <v>107.85301344262035</v>
      </c>
      <c r="AF82" s="32">
        <f t="shared" si="259"/>
        <v>105.99638238448571</v>
      </c>
      <c r="AG82" s="32">
        <f t="shared" si="260"/>
        <v>104.43482701328514</v>
      </c>
      <c r="AH82" s="32">
        <f t="shared" si="261"/>
        <v>103.11304521014017</v>
      </c>
      <c r="AI82" s="32">
        <f t="shared" si="262"/>
        <v>101.9732732550159</v>
      </c>
      <c r="AJ82" s="32">
        <f t="shared" si="263"/>
        <v>100.95588403142659</v>
      </c>
      <c r="AK82" s="31">
        <f t="shared" si="141"/>
        <v>100</v>
      </c>
      <c r="AL82" s="55"/>
      <c r="AM82" s="22">
        <v>7.3333333333333334E-2</v>
      </c>
      <c r="AN82" s="18">
        <f t="shared" si="142"/>
        <v>-1076400000</v>
      </c>
      <c r="AO82" s="20">
        <f t="shared" si="143"/>
        <v>-1031755649.5310231</v>
      </c>
      <c r="AP82" s="20">
        <f t="shared" si="144"/>
        <v>-987342209.34313321</v>
      </c>
      <c r="AQ82" s="20">
        <f t="shared" si="145"/>
        <v>-943387890.61387217</v>
      </c>
      <c r="AR82" s="20">
        <f t="shared" si="146"/>
        <v>-900115543.37265551</v>
      </c>
      <c r="AS82" s="20">
        <f t="shared" si="147"/>
        <v>-857740067.83185863</v>
      </c>
      <c r="AT82" s="20">
        <f t="shared" si="148"/>
        <v>-816465933.94946313</v>
      </c>
      <c r="AU82" s="20">
        <f t="shared" si="149"/>
        <v>-776484841.94619179</v>
      </c>
      <c r="AV82" s="20">
        <f t="shared" si="150"/>
        <v>-737973553.76201701</v>
      </c>
      <c r="AW82" s="20">
        <f t="shared" si="151"/>
        <v>-701091922.1786828</v>
      </c>
      <c r="AX82" s="20">
        <f t="shared" si="152"/>
        <v>-665981140.65555501</v>
      </c>
      <c r="AY82" s="20">
        <f t="shared" si="153"/>
        <v>-632762232.93487513</v>
      </c>
      <c r="AZ82" s="20">
        <f t="shared" si="154"/>
        <v>-601534797.28413057</v>
      </c>
      <c r="BA82" s="20">
        <f t="shared" si="155"/>
        <v>-572376015.97358215</v>
      </c>
      <c r="BB82" s="20">
        <f t="shared" si="156"/>
        <v>-545339936.34832895</v>
      </c>
      <c r="BC82" s="20">
        <f t="shared" si="157"/>
        <v>-520457025.75134152</v>
      </c>
      <c r="BD82" s="20">
        <f t="shared" si="158"/>
        <v>-497733998.67997611</v>
      </c>
      <c r="BE82" s="20">
        <f t="shared" si="159"/>
        <v>-477153910.99254698</v>
      </c>
      <c r="BF82" s="20">
        <f t="shared" si="160"/>
        <v>-458676512.78582782</v>
      </c>
      <c r="BG82" s="20">
        <f t="shared" si="161"/>
        <v>-442238848.78297508</v>
      </c>
      <c r="BH82" s="20">
        <f t="shared" si="162"/>
        <v>-427756092.72961599</v>
      </c>
      <c r="BI82" s="20">
        <f t="shared" si="163"/>
        <v>-415122600.40051836</v>
      </c>
      <c r="BJ82" s="20">
        <f t="shared" si="164"/>
        <v>-404213164.35957807</v>
      </c>
      <c r="BK82" s="20">
        <f t="shared" si="165"/>
        <v>-394884452.56526721</v>
      </c>
      <c r="BL82" s="20">
        <f t="shared" si="166"/>
        <v>-386976612.23212183</v>
      </c>
      <c r="BM82" s="20">
        <f t="shared" si="167"/>
        <v>-380315019.99553472</v>
      </c>
      <c r="BN82" s="20">
        <f t="shared" si="168"/>
        <v>-374712159.32366711</v>
      </c>
      <c r="BO82" s="20">
        <f t="shared" si="169"/>
        <v>-369969606.21398294</v>
      </c>
      <c r="BP82" s="20">
        <f t="shared" si="170"/>
        <v>-365880104.43899703</v>
      </c>
      <c r="BQ82" s="20">
        <f t="shared" si="171"/>
        <v>-362229711.90475857</v>
      </c>
      <c r="BR82" s="18">
        <f t="shared" si="172"/>
        <v>-358800000</v>
      </c>
      <c r="BT82" s="52"/>
      <c r="BU82" s="22">
        <v>7.3333333333333334E-2</v>
      </c>
      <c r="BV82" s="18">
        <f t="shared" si="173"/>
        <v>0.40647187995004247</v>
      </c>
      <c r="BW82" s="20">
        <f t="shared" si="174"/>
        <v>0.40647187995004247</v>
      </c>
      <c r="BX82" s="20">
        <f t="shared" si="175"/>
        <v>0.40647187995004247</v>
      </c>
      <c r="BY82" s="20">
        <f t="shared" si="176"/>
        <v>0.40647187995004247</v>
      </c>
      <c r="BZ82" s="20">
        <f t="shared" si="177"/>
        <v>0.40647187995004247</v>
      </c>
      <c r="CA82" s="20">
        <f t="shared" si="178"/>
        <v>0.40647187995004247</v>
      </c>
      <c r="CB82" s="20">
        <f t="shared" si="179"/>
        <v>0.40647187995004247</v>
      </c>
      <c r="CC82" s="20">
        <f t="shared" si="180"/>
        <v>0.40647187995004247</v>
      </c>
      <c r="CD82" s="20">
        <f t="shared" si="181"/>
        <v>0.40647187995004247</v>
      </c>
      <c r="CE82" s="20">
        <f t="shared" si="182"/>
        <v>0.40647187995004247</v>
      </c>
      <c r="CF82" s="20">
        <f t="shared" si="183"/>
        <v>0.40647187995004247</v>
      </c>
      <c r="CG82" s="20">
        <f t="shared" si="184"/>
        <v>0.40647187995004247</v>
      </c>
      <c r="CH82" s="20">
        <f t="shared" si="185"/>
        <v>0.40647187995004247</v>
      </c>
      <c r="CI82" s="20">
        <f t="shared" si="186"/>
        <v>0.40647187995004247</v>
      </c>
      <c r="CJ82" s="20">
        <f t="shared" si="187"/>
        <v>0.40647187995004247</v>
      </c>
      <c r="CK82" s="20">
        <f t="shared" si="188"/>
        <v>0.40647187995004247</v>
      </c>
      <c r="CL82" s="20">
        <f t="shared" si="189"/>
        <v>0.40647187995004247</v>
      </c>
      <c r="CM82" s="20">
        <f t="shared" si="190"/>
        <v>0.40647187995004247</v>
      </c>
      <c r="CN82" s="20">
        <f t="shared" si="191"/>
        <v>0.40647187995004247</v>
      </c>
      <c r="CO82" s="20">
        <f t="shared" si="192"/>
        <v>0.40647187995004247</v>
      </c>
      <c r="CP82" s="20">
        <f t="shared" si="193"/>
        <v>0.40647187995004247</v>
      </c>
      <c r="CQ82" s="20">
        <f t="shared" si="194"/>
        <v>0.40647187995004247</v>
      </c>
      <c r="CR82" s="20">
        <f t="shared" si="195"/>
        <v>0.40647187995004247</v>
      </c>
      <c r="CS82" s="20">
        <f t="shared" si="196"/>
        <v>0.40647187995004247</v>
      </c>
      <c r="CT82" s="20">
        <f t="shared" si="197"/>
        <v>0.40647187995004247</v>
      </c>
      <c r="CU82" s="20">
        <f t="shared" si="198"/>
        <v>0.40647187995004247</v>
      </c>
      <c r="CV82" s="20">
        <f t="shared" si="199"/>
        <v>0.40647187995004247</v>
      </c>
      <c r="CW82" s="20">
        <f t="shared" si="200"/>
        <v>0.40647187995004247</v>
      </c>
      <c r="CX82" s="20">
        <f t="shared" si="201"/>
        <v>0.40647187995004247</v>
      </c>
      <c r="CY82" s="20">
        <f t="shared" si="202"/>
        <v>0.40647187995004247</v>
      </c>
      <c r="CZ82" s="18">
        <f t="shared" si="203"/>
        <v>0.40647187995004247</v>
      </c>
      <c r="DB82" s="52"/>
      <c r="DC82" s="22">
        <v>7.3333333333333334E-2</v>
      </c>
      <c r="DD82" s="18">
        <f t="shared" si="204"/>
        <v>178.05843601498725</v>
      </c>
      <c r="DE82" s="20">
        <f t="shared" si="205"/>
        <v>170.67335312627398</v>
      </c>
      <c r="DF82" s="20">
        <f t="shared" si="206"/>
        <v>163.32646749091455</v>
      </c>
      <c r="DG82" s="20">
        <f t="shared" si="207"/>
        <v>156.05552987568186</v>
      </c>
      <c r="DH82" s="20">
        <f t="shared" si="208"/>
        <v>148.89740420449223</v>
      </c>
      <c r="DI82" s="20">
        <f t="shared" si="209"/>
        <v>141.8876393399571</v>
      </c>
      <c r="DJ82" s="20">
        <f t="shared" si="210"/>
        <v>135.06005876863367</v>
      </c>
      <c r="DK82" s="20">
        <f t="shared" si="211"/>
        <v>128.44637360301328</v>
      </c>
      <c r="DL82" s="20">
        <f t="shared" si="212"/>
        <v>122.07582386035568</v>
      </c>
      <c r="DM82" s="20">
        <f>(DM83*$B$22-AW82)/($B$21-$B$22*CE83)</f>
        <v>115.97485243949964</v>
      </c>
      <c r="DN82" s="20">
        <f t="shared" si="214"/>
        <v>110.16681560814322</v>
      </c>
      <c r="DO82" s="20">
        <f t="shared" si="215"/>
        <v>104.67173315285666</v>
      </c>
      <c r="DP82" s="20">
        <f t="shared" si="216"/>
        <v>99.506080651249249</v>
      </c>
      <c r="DQ82" s="20">
        <f t="shared" si="217"/>
        <v>94.682625619421586</v>
      </c>
      <c r="DR82" s="20">
        <f t="shared" si="218"/>
        <v>90.21030858667423</v>
      </c>
      <c r="DS82" s="20">
        <f t="shared" si="219"/>
        <v>86.094169470731899</v>
      </c>
      <c r="DT82" s="20">
        <f t="shared" si="220"/>
        <v>82.335318985918121</v>
      </c>
      <c r="DU82" s="20">
        <f t="shared" si="221"/>
        <v>78.930954226836988</v>
      </c>
      <c r="DV82" s="20">
        <f t="shared" si="222"/>
        <v>75.874417041483454</v>
      </c>
      <c r="DW82" s="20">
        <f t="shared" si="223"/>
        <v>73.155293347607753</v>
      </c>
      <c r="DX82" s="20">
        <f t="shared" si="224"/>
        <v>70.759551158786024</v>
      </c>
      <c r="DY82" s="20">
        <f t="shared" si="225"/>
        <v>68.669714773124127</v>
      </c>
      <c r="DZ82" s="20">
        <f t="shared" si="226"/>
        <v>66.86507233606045</v>
      </c>
      <c r="EA82" s="20">
        <f t="shared" si="227"/>
        <v>65.321913814944168</v>
      </c>
      <c r="EB82" s="20">
        <f t="shared" si="228"/>
        <v>64.013796310321254</v>
      </c>
      <c r="EC82" s="20">
        <f t="shared" si="229"/>
        <v>62.911833568760237</v>
      </c>
      <c r="ED82" s="20">
        <f t="shared" si="230"/>
        <v>61.985006544937654</v>
      </c>
      <c r="EE82" s="20">
        <f t="shared" si="231"/>
        <v>61.200491876200779</v>
      </c>
      <c r="EF82" s="20">
        <f t="shared" si="232"/>
        <v>60.524005170390197</v>
      </c>
      <c r="EG82" s="20">
        <f t="shared" si="233"/>
        <v>59.920156057154152</v>
      </c>
      <c r="EH82" s="18">
        <f t="shared" si="234"/>
        <v>59.352812004995762</v>
      </c>
    </row>
    <row r="83" spans="5:138" x14ac:dyDescent="0.3">
      <c r="E83" s="54"/>
      <c r="F83" s="22">
        <v>7.0000000000000007E-2</v>
      </c>
      <c r="G83" s="31">
        <f t="shared" si="139"/>
        <v>300</v>
      </c>
      <c r="H83" s="32">
        <f t="shared" si="235"/>
        <v>287.55731592280461</v>
      </c>
      <c r="I83" s="32">
        <f t="shared" si="236"/>
        <v>275.17898811124104</v>
      </c>
      <c r="J83" s="32">
        <f t="shared" si="237"/>
        <v>262.92862057242809</v>
      </c>
      <c r="K83" s="32">
        <f t="shared" si="238"/>
        <v>250.86832312504328</v>
      </c>
      <c r="L83" s="32">
        <f t="shared" si="239"/>
        <v>239.05798991969306</v>
      </c>
      <c r="M83" s="32">
        <f t="shared" si="240"/>
        <v>227.55460812415356</v>
      </c>
      <c r="N83" s="32">
        <f t="shared" si="241"/>
        <v>216.41160589358748</v>
      </c>
      <c r="O83" s="32">
        <f t="shared" si="242"/>
        <v>205.67824798272491</v>
      </c>
      <c r="P83" s="32">
        <f t="shared" si="243"/>
        <v>195.39908644890824</v>
      </c>
      <c r="Q83" s="32">
        <f t="shared" si="244"/>
        <v>185.61347286944121</v>
      </c>
      <c r="R83" s="32">
        <f t="shared" si="245"/>
        <v>176.35513738430183</v>
      </c>
      <c r="S83" s="32">
        <f t="shared" si="246"/>
        <v>167.65183870795164</v>
      </c>
      <c r="T83" s="32">
        <f t="shared" si="247"/>
        <v>159.52508806398606</v>
      </c>
      <c r="U83" s="32">
        <f t="shared" si="248"/>
        <v>151.98994881503035</v>
      </c>
      <c r="V83" s="32">
        <f t="shared" si="249"/>
        <v>145.05491241676179</v>
      </c>
      <c r="W83" s="32">
        <f t="shared" si="250"/>
        <v>138.72185024525527</v>
      </c>
      <c r="X83" s="32">
        <f t="shared" si="251"/>
        <v>132.98603985299519</v>
      </c>
      <c r="Y83" s="32">
        <f t="shared" si="252"/>
        <v>127.83626331823513</v>
      </c>
      <c r="Z83" s="32">
        <f t="shared" si="253"/>
        <v>123.2549745771948</v>
      </c>
      <c r="AA83" s="32">
        <f t="shared" si="254"/>
        <v>119.21853197592415</v>
      </c>
      <c r="AB83" s="32">
        <f t="shared" si="255"/>
        <v>115.69749175042314</v>
      </c>
      <c r="AC83" s="32">
        <f t="shared" si="256"/>
        <v>112.65695773678318</v>
      </c>
      <c r="AD83" s="32">
        <f t="shared" si="257"/>
        <v>110.05698232030858</v>
      </c>
      <c r="AE83" s="32">
        <f t="shared" si="258"/>
        <v>107.85301344262034</v>
      </c>
      <c r="AF83" s="32">
        <f t="shared" si="259"/>
        <v>105.9963823844857</v>
      </c>
      <c r="AG83" s="32">
        <f t="shared" si="260"/>
        <v>104.43482701328513</v>
      </c>
      <c r="AH83" s="32">
        <f t="shared" si="261"/>
        <v>103.11304521014014</v>
      </c>
      <c r="AI83" s="32">
        <f t="shared" si="262"/>
        <v>101.97327325501587</v>
      </c>
      <c r="AJ83" s="32">
        <f t="shared" si="263"/>
        <v>100.95588403142656</v>
      </c>
      <c r="AK83" s="31">
        <f t="shared" si="141"/>
        <v>100</v>
      </c>
      <c r="AL83" s="55"/>
      <c r="AM83" s="22">
        <v>7.0000000000000007E-2</v>
      </c>
      <c r="AN83" s="18">
        <f t="shared" si="142"/>
        <v>-1076400000</v>
      </c>
      <c r="AO83" s="20">
        <f t="shared" si="143"/>
        <v>-1031755649.5310229</v>
      </c>
      <c r="AP83" s="20">
        <f t="shared" si="144"/>
        <v>-987342209.34313285</v>
      </c>
      <c r="AQ83" s="20">
        <f t="shared" si="145"/>
        <v>-943387890.61387181</v>
      </c>
      <c r="AR83" s="20">
        <f t="shared" si="146"/>
        <v>-900115543.37265527</v>
      </c>
      <c r="AS83" s="20">
        <f t="shared" si="147"/>
        <v>-857740067.83185863</v>
      </c>
      <c r="AT83" s="20">
        <f t="shared" si="148"/>
        <v>-816465933.94946313</v>
      </c>
      <c r="AU83" s="20">
        <f t="shared" si="149"/>
        <v>-776484841.94619179</v>
      </c>
      <c r="AV83" s="20">
        <f t="shared" si="150"/>
        <v>-737973553.76201689</v>
      </c>
      <c r="AW83" s="20">
        <f t="shared" si="151"/>
        <v>-701091922.1786828</v>
      </c>
      <c r="AX83" s="20">
        <f t="shared" si="152"/>
        <v>-665981140.65555501</v>
      </c>
      <c r="AY83" s="20">
        <f t="shared" si="153"/>
        <v>-632762232.93487501</v>
      </c>
      <c r="AZ83" s="20">
        <f t="shared" si="154"/>
        <v>-601534797.28413033</v>
      </c>
      <c r="BA83" s="20">
        <f t="shared" si="155"/>
        <v>-572376015.97358203</v>
      </c>
      <c r="BB83" s="20">
        <f t="shared" si="156"/>
        <v>-545339936.34832883</v>
      </c>
      <c r="BC83" s="20">
        <f t="shared" si="157"/>
        <v>-520457025.75134134</v>
      </c>
      <c r="BD83" s="20">
        <f t="shared" si="158"/>
        <v>-497733998.67997593</v>
      </c>
      <c r="BE83" s="20">
        <f t="shared" si="159"/>
        <v>-477153910.99254674</v>
      </c>
      <c r="BF83" s="20">
        <f t="shared" si="160"/>
        <v>-458676512.7858277</v>
      </c>
      <c r="BG83" s="20">
        <f t="shared" si="161"/>
        <v>-442238848.78297502</v>
      </c>
      <c r="BH83" s="20">
        <f t="shared" si="162"/>
        <v>-427756092.72961587</v>
      </c>
      <c r="BI83" s="20">
        <f t="shared" si="163"/>
        <v>-415122600.4005183</v>
      </c>
      <c r="BJ83" s="20">
        <f t="shared" si="164"/>
        <v>-404213164.35957801</v>
      </c>
      <c r="BK83" s="20">
        <f t="shared" si="165"/>
        <v>-394884452.56526721</v>
      </c>
      <c r="BL83" s="20">
        <f t="shared" si="166"/>
        <v>-386976612.23212171</v>
      </c>
      <c r="BM83" s="20">
        <f t="shared" si="167"/>
        <v>-380315019.99553466</v>
      </c>
      <c r="BN83" s="20">
        <f t="shared" si="168"/>
        <v>-374712159.32366699</v>
      </c>
      <c r="BO83" s="20">
        <f t="shared" si="169"/>
        <v>-369969606.21398282</v>
      </c>
      <c r="BP83" s="20">
        <f t="shared" si="170"/>
        <v>-365880104.43899691</v>
      </c>
      <c r="BQ83" s="20">
        <f t="shared" si="171"/>
        <v>-362229711.90475851</v>
      </c>
      <c r="BR83" s="18">
        <f t="shared" si="172"/>
        <v>-358800000</v>
      </c>
      <c r="BT83" s="52"/>
      <c r="BU83" s="22">
        <v>7.0000000000000007E-2</v>
      </c>
      <c r="BV83" s="18">
        <f t="shared" si="173"/>
        <v>0.40647187995004247</v>
      </c>
      <c r="BW83" s="20">
        <f t="shared" si="174"/>
        <v>0.40647187995004247</v>
      </c>
      <c r="BX83" s="20">
        <f t="shared" si="175"/>
        <v>0.40647187995004247</v>
      </c>
      <c r="BY83" s="20">
        <f t="shared" si="176"/>
        <v>0.40647187995004247</v>
      </c>
      <c r="BZ83" s="20">
        <f t="shared" si="177"/>
        <v>0.40647187995004247</v>
      </c>
      <c r="CA83" s="20">
        <f t="shared" si="178"/>
        <v>0.40647187995004247</v>
      </c>
      <c r="CB83" s="20">
        <f t="shared" si="179"/>
        <v>0.40647187995004247</v>
      </c>
      <c r="CC83" s="20">
        <f t="shared" si="180"/>
        <v>0.40647187995004247</v>
      </c>
      <c r="CD83" s="20">
        <f t="shared" si="181"/>
        <v>0.40647187995004247</v>
      </c>
      <c r="CE83" s="20">
        <f t="shared" si="182"/>
        <v>0.40647187995004247</v>
      </c>
      <c r="CF83" s="20">
        <f t="shared" si="183"/>
        <v>0.40647187995004247</v>
      </c>
      <c r="CG83" s="20">
        <f t="shared" si="184"/>
        <v>0.40647187995004247</v>
      </c>
      <c r="CH83" s="20">
        <f t="shared" si="185"/>
        <v>0.40647187995004247</v>
      </c>
      <c r="CI83" s="20">
        <f t="shared" si="186"/>
        <v>0.40647187995004247</v>
      </c>
      <c r="CJ83" s="20">
        <f t="shared" si="187"/>
        <v>0.40647187995004247</v>
      </c>
      <c r="CK83" s="20">
        <f t="shared" si="188"/>
        <v>0.40647187995004247</v>
      </c>
      <c r="CL83" s="20">
        <f t="shared" si="189"/>
        <v>0.40647187995004247</v>
      </c>
      <c r="CM83" s="20">
        <f t="shared" si="190"/>
        <v>0.40647187995004247</v>
      </c>
      <c r="CN83" s="20">
        <f t="shared" si="191"/>
        <v>0.40647187995004247</v>
      </c>
      <c r="CO83" s="20">
        <f t="shared" si="192"/>
        <v>0.40647187995004247</v>
      </c>
      <c r="CP83" s="20">
        <f t="shared" si="193"/>
        <v>0.40647187995004247</v>
      </c>
      <c r="CQ83" s="20">
        <f t="shared" si="194"/>
        <v>0.40647187995004247</v>
      </c>
      <c r="CR83" s="20">
        <f t="shared" si="195"/>
        <v>0.40647187995004247</v>
      </c>
      <c r="CS83" s="20">
        <f t="shared" si="196"/>
        <v>0.40647187995004247</v>
      </c>
      <c r="CT83" s="20">
        <f t="shared" si="197"/>
        <v>0.40647187995004247</v>
      </c>
      <c r="CU83" s="20">
        <f t="shared" si="198"/>
        <v>0.40647187995004247</v>
      </c>
      <c r="CV83" s="20">
        <f t="shared" si="199"/>
        <v>0.40647187995004247</v>
      </c>
      <c r="CW83" s="20">
        <f t="shared" si="200"/>
        <v>0.40647187995004247</v>
      </c>
      <c r="CX83" s="20">
        <f t="shared" si="201"/>
        <v>0.40647187995004247</v>
      </c>
      <c r="CY83" s="20">
        <f t="shared" si="202"/>
        <v>0.40647187995004247</v>
      </c>
      <c r="CZ83" s="18">
        <f t="shared" si="203"/>
        <v>0.40647187995004247</v>
      </c>
      <c r="DB83" s="52"/>
      <c r="DC83" s="22">
        <v>7.0000000000000007E-2</v>
      </c>
      <c r="DD83" s="18">
        <f t="shared" si="204"/>
        <v>178.05843601498725</v>
      </c>
      <c r="DE83" s="20">
        <f t="shared" si="205"/>
        <v>170.67335312627392</v>
      </c>
      <c r="DF83" s="20">
        <f t="shared" si="206"/>
        <v>163.3264674909145</v>
      </c>
      <c r="DG83" s="20">
        <f t="shared" si="207"/>
        <v>156.05552987568183</v>
      </c>
      <c r="DH83" s="20">
        <f t="shared" si="208"/>
        <v>148.8974042044922</v>
      </c>
      <c r="DI83" s="20">
        <f t="shared" si="209"/>
        <v>141.8876393399571</v>
      </c>
      <c r="DJ83" s="20">
        <f t="shared" si="210"/>
        <v>135.06005876863364</v>
      </c>
      <c r="DK83" s="20">
        <f t="shared" si="211"/>
        <v>128.44637360301326</v>
      </c>
      <c r="DL83" s="20">
        <f t="shared" si="212"/>
        <v>122.07582386035567</v>
      </c>
      <c r="DM83" s="20">
        <f t="shared" si="213"/>
        <v>115.97485243949963</v>
      </c>
      <c r="DN83" s="20">
        <f t="shared" si="214"/>
        <v>110.16681560814322</v>
      </c>
      <c r="DO83" s="20">
        <f t="shared" si="215"/>
        <v>104.67173315285665</v>
      </c>
      <c r="DP83" s="20">
        <f t="shared" si="216"/>
        <v>99.506080651249221</v>
      </c>
      <c r="DQ83" s="20">
        <f t="shared" si="217"/>
        <v>94.682625619421557</v>
      </c>
      <c r="DR83" s="20">
        <f t="shared" si="218"/>
        <v>90.210308586674216</v>
      </c>
      <c r="DS83" s="20">
        <f t="shared" si="219"/>
        <v>86.094169470731842</v>
      </c>
      <c r="DT83" s="20">
        <f t="shared" si="220"/>
        <v>82.335318985918079</v>
      </c>
      <c r="DU83" s="20">
        <f t="shared" si="221"/>
        <v>78.93095422683696</v>
      </c>
      <c r="DV83" s="20">
        <f t="shared" si="222"/>
        <v>75.874417041483426</v>
      </c>
      <c r="DW83" s="20">
        <f t="shared" si="223"/>
        <v>73.155293347607724</v>
      </c>
      <c r="DX83" s="20">
        <f t="shared" si="224"/>
        <v>70.759551158785996</v>
      </c>
      <c r="DY83" s="20">
        <f t="shared" si="225"/>
        <v>68.669714773124113</v>
      </c>
      <c r="DZ83" s="20">
        <f t="shared" si="226"/>
        <v>66.865072336060436</v>
      </c>
      <c r="EA83" s="20">
        <f t="shared" si="227"/>
        <v>65.321913814944168</v>
      </c>
      <c r="EB83" s="20">
        <f t="shared" si="228"/>
        <v>64.01379631032124</v>
      </c>
      <c r="EC83" s="20">
        <f t="shared" si="229"/>
        <v>62.911833568760223</v>
      </c>
      <c r="ED83" s="20">
        <f t="shared" si="230"/>
        <v>61.98500654493764</v>
      </c>
      <c r="EE83" s="20">
        <f t="shared" si="231"/>
        <v>61.200491876200751</v>
      </c>
      <c r="EF83" s="20">
        <f t="shared" si="232"/>
        <v>60.524005170390176</v>
      </c>
      <c r="EG83" s="20">
        <f t="shared" si="233"/>
        <v>59.920156057154124</v>
      </c>
      <c r="EH83" s="18">
        <f t="shared" si="234"/>
        <v>59.352812004995748</v>
      </c>
    </row>
    <row r="84" spans="5:138" x14ac:dyDescent="0.3">
      <c r="E84" s="54"/>
      <c r="F84" s="22">
        <v>6.6666666666666666E-2</v>
      </c>
      <c r="G84" s="31">
        <f t="shared" si="139"/>
        <v>300</v>
      </c>
      <c r="H84" s="32">
        <f t="shared" si="235"/>
        <v>287.55731592280455</v>
      </c>
      <c r="I84" s="32">
        <f t="shared" si="236"/>
        <v>275.17898811124104</v>
      </c>
      <c r="J84" s="32">
        <f t="shared" si="237"/>
        <v>262.92862057242803</v>
      </c>
      <c r="K84" s="32">
        <f t="shared" si="238"/>
        <v>250.86832312504322</v>
      </c>
      <c r="L84" s="32">
        <f t="shared" si="239"/>
        <v>239.05798991969306</v>
      </c>
      <c r="M84" s="32">
        <f t="shared" si="240"/>
        <v>227.55460812415356</v>
      </c>
      <c r="N84" s="32">
        <f t="shared" si="241"/>
        <v>216.41160589358742</v>
      </c>
      <c r="O84" s="32">
        <f t="shared" si="242"/>
        <v>205.67824798272486</v>
      </c>
      <c r="P84" s="32">
        <f t="shared" si="243"/>
        <v>195.39908644890818</v>
      </c>
      <c r="Q84" s="32">
        <f t="shared" si="244"/>
        <v>185.61347286944118</v>
      </c>
      <c r="R84" s="32">
        <f t="shared" si="245"/>
        <v>176.35513738430183</v>
      </c>
      <c r="S84" s="32">
        <f t="shared" si="246"/>
        <v>167.65183870795158</v>
      </c>
      <c r="T84" s="32">
        <f t="shared" si="247"/>
        <v>159.52508806398603</v>
      </c>
      <c r="U84" s="32">
        <f t="shared" si="248"/>
        <v>151.98994881503029</v>
      </c>
      <c r="V84" s="32">
        <f t="shared" si="249"/>
        <v>145.05491241676174</v>
      </c>
      <c r="W84" s="32">
        <f t="shared" si="250"/>
        <v>138.72185024525524</v>
      </c>
      <c r="X84" s="32">
        <f t="shared" si="251"/>
        <v>132.98603985299516</v>
      </c>
      <c r="Y84" s="32">
        <f t="shared" si="252"/>
        <v>127.83626331823508</v>
      </c>
      <c r="Z84" s="32">
        <f t="shared" si="253"/>
        <v>123.25497457719476</v>
      </c>
      <c r="AA84" s="32">
        <f t="shared" si="254"/>
        <v>119.21853197592414</v>
      </c>
      <c r="AB84" s="32">
        <f t="shared" si="255"/>
        <v>115.69749175042313</v>
      </c>
      <c r="AC84" s="32">
        <f t="shared" si="256"/>
        <v>112.65695773678317</v>
      </c>
      <c r="AD84" s="32">
        <f t="shared" si="257"/>
        <v>110.05698232030858</v>
      </c>
      <c r="AE84" s="32">
        <f t="shared" si="258"/>
        <v>107.85301344262032</v>
      </c>
      <c r="AF84" s="32">
        <f t="shared" si="259"/>
        <v>105.99638238448568</v>
      </c>
      <c r="AG84" s="32">
        <f t="shared" si="260"/>
        <v>104.43482701328512</v>
      </c>
      <c r="AH84" s="32">
        <f t="shared" si="261"/>
        <v>103.11304521014014</v>
      </c>
      <c r="AI84" s="32">
        <f t="shared" si="262"/>
        <v>101.97327325501587</v>
      </c>
      <c r="AJ84" s="32">
        <f t="shared" si="263"/>
        <v>100.95588403142655</v>
      </c>
      <c r="AK84" s="31">
        <f t="shared" si="141"/>
        <v>100</v>
      </c>
      <c r="AL84" s="55"/>
      <c r="AM84" s="22">
        <v>6.6666666666666666E-2</v>
      </c>
      <c r="AN84" s="18">
        <f t="shared" si="142"/>
        <v>-1076400000</v>
      </c>
      <c r="AO84" s="20">
        <f t="shared" si="143"/>
        <v>-1031755649.5310229</v>
      </c>
      <c r="AP84" s="20">
        <f t="shared" si="144"/>
        <v>-987342209.34313285</v>
      </c>
      <c r="AQ84" s="20">
        <f t="shared" si="145"/>
        <v>-943387890.61387181</v>
      </c>
      <c r="AR84" s="20">
        <f t="shared" si="146"/>
        <v>-900115543.37265515</v>
      </c>
      <c r="AS84" s="20">
        <f t="shared" si="147"/>
        <v>-857740067.83185852</v>
      </c>
      <c r="AT84" s="20">
        <f t="shared" si="148"/>
        <v>-816465933.94946301</v>
      </c>
      <c r="AU84" s="20">
        <f t="shared" si="149"/>
        <v>-776484841.94619155</v>
      </c>
      <c r="AV84" s="20">
        <f t="shared" si="150"/>
        <v>-737973553.76201665</v>
      </c>
      <c r="AW84" s="20">
        <f t="shared" si="151"/>
        <v>-701091922.17868257</v>
      </c>
      <c r="AX84" s="20">
        <f t="shared" si="152"/>
        <v>-665981140.65555477</v>
      </c>
      <c r="AY84" s="20">
        <f t="shared" si="153"/>
        <v>-632762232.93487489</v>
      </c>
      <c r="AZ84" s="20">
        <f t="shared" si="154"/>
        <v>-601534797.28413033</v>
      </c>
      <c r="BA84" s="20">
        <f t="shared" si="155"/>
        <v>-572376015.97358191</v>
      </c>
      <c r="BB84" s="20">
        <f t="shared" si="156"/>
        <v>-545339936.34832871</v>
      </c>
      <c r="BC84" s="20">
        <f t="shared" si="157"/>
        <v>-520457025.7513411</v>
      </c>
      <c r="BD84" s="20">
        <f t="shared" si="158"/>
        <v>-497733998.67997569</v>
      </c>
      <c r="BE84" s="20">
        <f t="shared" si="159"/>
        <v>-477153910.99254656</v>
      </c>
      <c r="BF84" s="20">
        <f t="shared" si="160"/>
        <v>-458676512.78582746</v>
      </c>
      <c r="BG84" s="20">
        <f t="shared" si="161"/>
        <v>-442238848.78297478</v>
      </c>
      <c r="BH84" s="20">
        <f t="shared" si="162"/>
        <v>-427756092.72961575</v>
      </c>
      <c r="BI84" s="20">
        <f t="shared" si="163"/>
        <v>-415122600.40051818</v>
      </c>
      <c r="BJ84" s="20">
        <f t="shared" si="164"/>
        <v>-404213164.35957801</v>
      </c>
      <c r="BK84" s="20">
        <f t="shared" si="165"/>
        <v>-394884452.56526721</v>
      </c>
      <c r="BL84" s="20">
        <f t="shared" si="166"/>
        <v>-386976612.23212171</v>
      </c>
      <c r="BM84" s="20">
        <f t="shared" si="167"/>
        <v>-380315019.99553466</v>
      </c>
      <c r="BN84" s="20">
        <f t="shared" si="168"/>
        <v>-374712159.32366699</v>
      </c>
      <c r="BO84" s="20">
        <f t="shared" si="169"/>
        <v>-369969606.21398282</v>
      </c>
      <c r="BP84" s="20">
        <f t="shared" si="170"/>
        <v>-365880104.43899691</v>
      </c>
      <c r="BQ84" s="20">
        <f t="shared" si="171"/>
        <v>-362229711.90475851</v>
      </c>
      <c r="BR84" s="18">
        <f t="shared" si="172"/>
        <v>-358800000</v>
      </c>
      <c r="BT84" s="52"/>
      <c r="BU84" s="22">
        <v>6.6666666666666666E-2</v>
      </c>
      <c r="BV84" s="18">
        <f t="shared" si="173"/>
        <v>0.40647187995004258</v>
      </c>
      <c r="BW84" s="20">
        <f t="shared" si="174"/>
        <v>0.40647187995004258</v>
      </c>
      <c r="BX84" s="20">
        <f t="shared" si="175"/>
        <v>0.40647187995004258</v>
      </c>
      <c r="BY84" s="20">
        <f t="shared" si="176"/>
        <v>0.40647187995004258</v>
      </c>
      <c r="BZ84" s="20">
        <f t="shared" si="177"/>
        <v>0.40647187995004258</v>
      </c>
      <c r="CA84" s="20">
        <f t="shared" si="178"/>
        <v>0.40647187995004258</v>
      </c>
      <c r="CB84" s="20">
        <f t="shared" si="179"/>
        <v>0.40647187995004258</v>
      </c>
      <c r="CC84" s="20">
        <f t="shared" si="180"/>
        <v>0.40647187995004258</v>
      </c>
      <c r="CD84" s="20">
        <f t="shared" si="181"/>
        <v>0.40647187995004258</v>
      </c>
      <c r="CE84" s="20">
        <f t="shared" si="182"/>
        <v>0.40647187995004258</v>
      </c>
      <c r="CF84" s="20">
        <f t="shared" si="183"/>
        <v>0.40647187995004258</v>
      </c>
      <c r="CG84" s="20">
        <f t="shared" si="184"/>
        <v>0.40647187995004258</v>
      </c>
      <c r="CH84" s="20">
        <f t="shared" si="185"/>
        <v>0.40647187995004258</v>
      </c>
      <c r="CI84" s="20">
        <f t="shared" si="186"/>
        <v>0.40647187995004258</v>
      </c>
      <c r="CJ84" s="20">
        <f t="shared" si="187"/>
        <v>0.40647187995004258</v>
      </c>
      <c r="CK84" s="20">
        <f t="shared" si="188"/>
        <v>0.40647187995004258</v>
      </c>
      <c r="CL84" s="20">
        <f t="shared" si="189"/>
        <v>0.40647187995004258</v>
      </c>
      <c r="CM84" s="20">
        <f t="shared" si="190"/>
        <v>0.40647187995004258</v>
      </c>
      <c r="CN84" s="20">
        <f t="shared" si="191"/>
        <v>0.40647187995004258</v>
      </c>
      <c r="CO84" s="20">
        <f t="shared" si="192"/>
        <v>0.40647187995004258</v>
      </c>
      <c r="CP84" s="20">
        <f t="shared" si="193"/>
        <v>0.40647187995004258</v>
      </c>
      <c r="CQ84" s="20">
        <f t="shared" si="194"/>
        <v>0.40647187995004258</v>
      </c>
      <c r="CR84" s="20">
        <f t="shared" si="195"/>
        <v>0.40647187995004258</v>
      </c>
      <c r="CS84" s="20">
        <f t="shared" si="196"/>
        <v>0.40647187995004258</v>
      </c>
      <c r="CT84" s="20">
        <f t="shared" si="197"/>
        <v>0.40647187995004258</v>
      </c>
      <c r="CU84" s="20">
        <f t="shared" si="198"/>
        <v>0.40647187995004258</v>
      </c>
      <c r="CV84" s="20">
        <f t="shared" si="199"/>
        <v>0.40647187995004258</v>
      </c>
      <c r="CW84" s="20">
        <f t="shared" si="200"/>
        <v>0.40647187995004258</v>
      </c>
      <c r="CX84" s="20">
        <f t="shared" si="201"/>
        <v>0.40647187995004258</v>
      </c>
      <c r="CY84" s="20">
        <f t="shared" si="202"/>
        <v>0.40647187995004258</v>
      </c>
      <c r="CZ84" s="18">
        <f t="shared" si="203"/>
        <v>0.40647187995004258</v>
      </c>
      <c r="DB84" s="52"/>
      <c r="DC84" s="22">
        <v>6.6666666666666666E-2</v>
      </c>
      <c r="DD84" s="18">
        <f t="shared" si="204"/>
        <v>178.05843601498719</v>
      </c>
      <c r="DE84" s="20">
        <f t="shared" si="205"/>
        <v>170.67335312627387</v>
      </c>
      <c r="DF84" s="20">
        <f t="shared" si="206"/>
        <v>163.32646749091447</v>
      </c>
      <c r="DG84" s="20">
        <f t="shared" si="207"/>
        <v>156.05552987568177</v>
      </c>
      <c r="DH84" s="20">
        <f t="shared" si="208"/>
        <v>148.89740420449215</v>
      </c>
      <c r="DI84" s="20">
        <f t="shared" si="209"/>
        <v>141.88763933995708</v>
      </c>
      <c r="DJ84" s="20">
        <f t="shared" si="210"/>
        <v>135.06005876863361</v>
      </c>
      <c r="DK84" s="20">
        <f t="shared" si="211"/>
        <v>128.4463736030132</v>
      </c>
      <c r="DL84" s="20">
        <f t="shared" si="212"/>
        <v>122.07582386035561</v>
      </c>
      <c r="DM84" s="20">
        <f t="shared" si="213"/>
        <v>115.97485243949957</v>
      </c>
      <c r="DN84" s="20">
        <f t="shared" si="214"/>
        <v>110.16681560814317</v>
      </c>
      <c r="DO84" s="20">
        <f t="shared" si="215"/>
        <v>104.67173315285662</v>
      </c>
      <c r="DP84" s="20">
        <f t="shared" si="216"/>
        <v>99.506080651249178</v>
      </c>
      <c r="DQ84" s="20">
        <f t="shared" si="217"/>
        <v>94.682625619421515</v>
      </c>
      <c r="DR84" s="20">
        <f t="shared" si="218"/>
        <v>90.210308586674174</v>
      </c>
      <c r="DS84" s="20">
        <f t="shared" si="219"/>
        <v>86.094169470731799</v>
      </c>
      <c r="DT84" s="20">
        <f t="shared" si="220"/>
        <v>82.33531898591805</v>
      </c>
      <c r="DU84" s="20">
        <f t="shared" si="221"/>
        <v>78.930954226836917</v>
      </c>
      <c r="DV84" s="20">
        <f t="shared" si="222"/>
        <v>75.874417041483383</v>
      </c>
      <c r="DW84" s="20">
        <f t="shared" si="223"/>
        <v>73.155293347607682</v>
      </c>
      <c r="DX84" s="20">
        <f t="shared" si="224"/>
        <v>70.759551158785982</v>
      </c>
      <c r="DY84" s="20">
        <f t="shared" si="225"/>
        <v>68.669714773124085</v>
      </c>
      <c r="DZ84" s="20">
        <f t="shared" si="226"/>
        <v>66.865072336060422</v>
      </c>
      <c r="EA84" s="20">
        <f t="shared" si="227"/>
        <v>65.321913814944153</v>
      </c>
      <c r="EB84" s="20">
        <f t="shared" si="228"/>
        <v>64.013796310321212</v>
      </c>
      <c r="EC84" s="20">
        <f t="shared" si="229"/>
        <v>62.911833568760215</v>
      </c>
      <c r="ED84" s="20">
        <f t="shared" si="230"/>
        <v>61.985006544937619</v>
      </c>
      <c r="EE84" s="20">
        <f t="shared" si="231"/>
        <v>61.200491876200736</v>
      </c>
      <c r="EF84" s="20">
        <f t="shared" si="232"/>
        <v>60.524005170390161</v>
      </c>
      <c r="EG84" s="20">
        <f t="shared" si="233"/>
        <v>59.920156057154109</v>
      </c>
      <c r="EH84" s="18">
        <f t="shared" si="234"/>
        <v>59.352812004995741</v>
      </c>
    </row>
    <row r="85" spans="5:138" x14ac:dyDescent="0.3">
      <c r="E85" s="54"/>
      <c r="F85" s="22">
        <v>6.3333333333333339E-2</v>
      </c>
      <c r="G85" s="31">
        <f t="shared" si="139"/>
        <v>300</v>
      </c>
      <c r="H85" s="32">
        <f t="shared" si="235"/>
        <v>287.55731592280461</v>
      </c>
      <c r="I85" s="32">
        <f t="shared" si="236"/>
        <v>275.17898811124104</v>
      </c>
      <c r="J85" s="32">
        <f t="shared" si="237"/>
        <v>262.92862057242803</v>
      </c>
      <c r="K85" s="32">
        <f t="shared" si="238"/>
        <v>250.86832312504328</v>
      </c>
      <c r="L85" s="32">
        <f t="shared" si="239"/>
        <v>239.05798991969306</v>
      </c>
      <c r="M85" s="32">
        <f t="shared" si="240"/>
        <v>227.55460812415356</v>
      </c>
      <c r="N85" s="32">
        <f t="shared" si="241"/>
        <v>216.41160589358742</v>
      </c>
      <c r="O85" s="32">
        <f t="shared" si="242"/>
        <v>205.67824798272483</v>
      </c>
      <c r="P85" s="32">
        <f t="shared" si="243"/>
        <v>195.39908644890818</v>
      </c>
      <c r="Q85" s="32">
        <f t="shared" si="244"/>
        <v>185.61347286944118</v>
      </c>
      <c r="R85" s="32">
        <f t="shared" si="245"/>
        <v>176.35513738430183</v>
      </c>
      <c r="S85" s="32">
        <f t="shared" si="246"/>
        <v>167.65183870795158</v>
      </c>
      <c r="T85" s="32">
        <f t="shared" si="247"/>
        <v>159.52508806398603</v>
      </c>
      <c r="U85" s="32">
        <f t="shared" si="248"/>
        <v>151.98994881503029</v>
      </c>
      <c r="V85" s="32">
        <f t="shared" si="249"/>
        <v>145.05491241676174</v>
      </c>
      <c r="W85" s="32">
        <f t="shared" si="250"/>
        <v>138.72185024525521</v>
      </c>
      <c r="X85" s="32">
        <f t="shared" si="251"/>
        <v>132.98603985299513</v>
      </c>
      <c r="Y85" s="32">
        <f t="shared" si="252"/>
        <v>127.83626331823508</v>
      </c>
      <c r="Z85" s="32">
        <f t="shared" si="253"/>
        <v>123.25497457719476</v>
      </c>
      <c r="AA85" s="32">
        <f t="shared" si="254"/>
        <v>119.21853197592414</v>
      </c>
      <c r="AB85" s="32">
        <f t="shared" si="255"/>
        <v>115.69749175042315</v>
      </c>
      <c r="AC85" s="32">
        <f t="shared" si="256"/>
        <v>112.65695773678317</v>
      </c>
      <c r="AD85" s="32">
        <f t="shared" si="257"/>
        <v>110.05698232030858</v>
      </c>
      <c r="AE85" s="32">
        <f t="shared" si="258"/>
        <v>107.85301344262032</v>
      </c>
      <c r="AF85" s="32">
        <f t="shared" si="259"/>
        <v>105.99638238448568</v>
      </c>
      <c r="AG85" s="32">
        <f t="shared" si="260"/>
        <v>104.4348270132851</v>
      </c>
      <c r="AH85" s="32">
        <f t="shared" si="261"/>
        <v>103.11304521014014</v>
      </c>
      <c r="AI85" s="32">
        <f t="shared" si="262"/>
        <v>101.97327325501587</v>
      </c>
      <c r="AJ85" s="32">
        <f t="shared" si="263"/>
        <v>100.95588403142654</v>
      </c>
      <c r="AK85" s="31">
        <f t="shared" si="141"/>
        <v>100</v>
      </c>
      <c r="AL85" s="55"/>
      <c r="AM85" s="22">
        <v>6.3333333333333339E-2</v>
      </c>
      <c r="AN85" s="18">
        <f t="shared" si="142"/>
        <v>-1076400000</v>
      </c>
      <c r="AO85" s="20">
        <f t="shared" si="143"/>
        <v>-1031755649.5310229</v>
      </c>
      <c r="AP85" s="20">
        <f t="shared" si="144"/>
        <v>-987342209.34313285</v>
      </c>
      <c r="AQ85" s="20">
        <f t="shared" si="145"/>
        <v>-943387890.61387181</v>
      </c>
      <c r="AR85" s="20">
        <f t="shared" si="146"/>
        <v>-900115543.37265515</v>
      </c>
      <c r="AS85" s="20">
        <f t="shared" si="147"/>
        <v>-857740067.83185852</v>
      </c>
      <c r="AT85" s="20">
        <f t="shared" si="148"/>
        <v>-816465933.94946301</v>
      </c>
      <c r="AU85" s="20">
        <f t="shared" si="149"/>
        <v>-776484841.94619155</v>
      </c>
      <c r="AV85" s="20">
        <f t="shared" si="150"/>
        <v>-737973553.76201665</v>
      </c>
      <c r="AW85" s="20">
        <f t="shared" si="151"/>
        <v>-701091922.17868257</v>
      </c>
      <c r="AX85" s="20">
        <f t="shared" si="152"/>
        <v>-665981140.65555477</v>
      </c>
      <c r="AY85" s="20">
        <f t="shared" si="153"/>
        <v>-632762232.93487489</v>
      </c>
      <c r="AZ85" s="20">
        <f t="shared" si="154"/>
        <v>-601534797.28413033</v>
      </c>
      <c r="BA85" s="20">
        <f t="shared" si="155"/>
        <v>-572376015.97358191</v>
      </c>
      <c r="BB85" s="20">
        <f t="shared" si="156"/>
        <v>-545339936.34832871</v>
      </c>
      <c r="BC85" s="20">
        <f t="shared" si="157"/>
        <v>-520457025.7513411</v>
      </c>
      <c r="BD85" s="20">
        <f t="shared" si="158"/>
        <v>-497733998.67997569</v>
      </c>
      <c r="BE85" s="20">
        <f t="shared" si="159"/>
        <v>-477153910.99254656</v>
      </c>
      <c r="BF85" s="20">
        <f t="shared" si="160"/>
        <v>-458676512.78582746</v>
      </c>
      <c r="BG85" s="20">
        <f t="shared" si="161"/>
        <v>-442238848.78297478</v>
      </c>
      <c r="BH85" s="20">
        <f t="shared" si="162"/>
        <v>-427756092.72961575</v>
      </c>
      <c r="BI85" s="20">
        <f t="shared" si="163"/>
        <v>-415122600.40051818</v>
      </c>
      <c r="BJ85" s="20">
        <f t="shared" si="164"/>
        <v>-404213164.35957801</v>
      </c>
      <c r="BK85" s="20">
        <f t="shared" si="165"/>
        <v>-394884452.56526721</v>
      </c>
      <c r="BL85" s="20">
        <f t="shared" si="166"/>
        <v>-386976612.23212171</v>
      </c>
      <c r="BM85" s="20">
        <f t="shared" si="167"/>
        <v>-380315019.99553466</v>
      </c>
      <c r="BN85" s="20">
        <f t="shared" si="168"/>
        <v>-374712159.32366699</v>
      </c>
      <c r="BO85" s="20">
        <f t="shared" si="169"/>
        <v>-369969606.21398282</v>
      </c>
      <c r="BP85" s="20">
        <f t="shared" si="170"/>
        <v>-365880104.43899691</v>
      </c>
      <c r="BQ85" s="20">
        <f t="shared" si="171"/>
        <v>-362229711.90475851</v>
      </c>
      <c r="BR85" s="18">
        <f t="shared" si="172"/>
        <v>-358800000</v>
      </c>
      <c r="BT85" s="52"/>
      <c r="BU85" s="22">
        <v>6.3333333333333339E-2</v>
      </c>
      <c r="BV85" s="18">
        <f t="shared" si="173"/>
        <v>0.40647187995004358</v>
      </c>
      <c r="BW85" s="20">
        <f t="shared" si="174"/>
        <v>0.40647187995004358</v>
      </c>
      <c r="BX85" s="20">
        <f t="shared" si="175"/>
        <v>0.40647187995004358</v>
      </c>
      <c r="BY85" s="20">
        <f t="shared" si="176"/>
        <v>0.40647187995004358</v>
      </c>
      <c r="BZ85" s="20">
        <f t="shared" si="177"/>
        <v>0.40647187995004358</v>
      </c>
      <c r="CA85" s="20">
        <f t="shared" si="178"/>
        <v>0.40647187995004358</v>
      </c>
      <c r="CB85" s="20">
        <f t="shared" si="179"/>
        <v>0.40647187995004358</v>
      </c>
      <c r="CC85" s="20">
        <f t="shared" si="180"/>
        <v>0.40647187995004358</v>
      </c>
      <c r="CD85" s="20">
        <f t="shared" si="181"/>
        <v>0.40647187995004358</v>
      </c>
      <c r="CE85" s="20">
        <f t="shared" si="182"/>
        <v>0.40647187995004358</v>
      </c>
      <c r="CF85" s="20">
        <f t="shared" si="183"/>
        <v>0.40647187995004358</v>
      </c>
      <c r="CG85" s="20">
        <f t="shared" si="184"/>
        <v>0.40647187995004358</v>
      </c>
      <c r="CH85" s="20">
        <f t="shared" si="185"/>
        <v>0.40647187995004358</v>
      </c>
      <c r="CI85" s="20">
        <f t="shared" si="186"/>
        <v>0.40647187995004358</v>
      </c>
      <c r="CJ85" s="20">
        <f t="shared" si="187"/>
        <v>0.40647187995004358</v>
      </c>
      <c r="CK85" s="20">
        <f t="shared" si="188"/>
        <v>0.40647187995004358</v>
      </c>
      <c r="CL85" s="20">
        <f t="shared" si="189"/>
        <v>0.40647187995004358</v>
      </c>
      <c r="CM85" s="20">
        <f t="shared" si="190"/>
        <v>0.40647187995004358</v>
      </c>
      <c r="CN85" s="20">
        <f t="shared" si="191"/>
        <v>0.40647187995004358</v>
      </c>
      <c r="CO85" s="20">
        <f t="shared" si="192"/>
        <v>0.40647187995004358</v>
      </c>
      <c r="CP85" s="20">
        <f t="shared" si="193"/>
        <v>0.40647187995004358</v>
      </c>
      <c r="CQ85" s="20">
        <f t="shared" si="194"/>
        <v>0.40647187995004358</v>
      </c>
      <c r="CR85" s="20">
        <f t="shared" si="195"/>
        <v>0.40647187995004358</v>
      </c>
      <c r="CS85" s="20">
        <f t="shared" si="196"/>
        <v>0.40647187995004358</v>
      </c>
      <c r="CT85" s="20">
        <f t="shared" si="197"/>
        <v>0.40647187995004358</v>
      </c>
      <c r="CU85" s="20">
        <f t="shared" si="198"/>
        <v>0.40647187995004358</v>
      </c>
      <c r="CV85" s="20">
        <f t="shared" si="199"/>
        <v>0.40647187995004358</v>
      </c>
      <c r="CW85" s="20">
        <f t="shared" si="200"/>
        <v>0.40647187995004358</v>
      </c>
      <c r="CX85" s="20">
        <f t="shared" si="201"/>
        <v>0.40647187995004358</v>
      </c>
      <c r="CY85" s="20">
        <f t="shared" si="202"/>
        <v>0.40647187995004358</v>
      </c>
      <c r="CZ85" s="18">
        <f t="shared" si="203"/>
        <v>0.40647187995004358</v>
      </c>
      <c r="DB85" s="52"/>
      <c r="DC85" s="22">
        <v>6.3333333333333339E-2</v>
      </c>
      <c r="DD85" s="18">
        <f t="shared" si="204"/>
        <v>178.05843601498691</v>
      </c>
      <c r="DE85" s="20">
        <f t="shared" si="205"/>
        <v>170.67335312627361</v>
      </c>
      <c r="DF85" s="20">
        <f t="shared" si="206"/>
        <v>163.32646749091418</v>
      </c>
      <c r="DG85" s="20">
        <f t="shared" si="207"/>
        <v>156.05552987568151</v>
      </c>
      <c r="DH85" s="20">
        <f t="shared" si="208"/>
        <v>148.89740420449195</v>
      </c>
      <c r="DI85" s="20">
        <f t="shared" si="209"/>
        <v>141.88763933995685</v>
      </c>
      <c r="DJ85" s="20">
        <f t="shared" si="210"/>
        <v>135.06005876863341</v>
      </c>
      <c r="DK85" s="20">
        <f t="shared" si="211"/>
        <v>128.446373603013</v>
      </c>
      <c r="DL85" s="20">
        <f t="shared" si="212"/>
        <v>122.07582386035541</v>
      </c>
      <c r="DM85" s="20">
        <f t="shared" si="213"/>
        <v>115.9748524394994</v>
      </c>
      <c r="DN85" s="20">
        <f t="shared" si="214"/>
        <v>110.166815608143</v>
      </c>
      <c r="DO85" s="20">
        <f t="shared" si="215"/>
        <v>104.67173315285643</v>
      </c>
      <c r="DP85" s="20">
        <f t="shared" si="216"/>
        <v>99.506080651249022</v>
      </c>
      <c r="DQ85" s="20">
        <f t="shared" si="217"/>
        <v>94.682625619421373</v>
      </c>
      <c r="DR85" s="20">
        <f t="shared" si="218"/>
        <v>90.210308586674032</v>
      </c>
      <c r="DS85" s="20">
        <f t="shared" si="219"/>
        <v>86.094169470731686</v>
      </c>
      <c r="DT85" s="20">
        <f t="shared" si="220"/>
        <v>82.335318985917908</v>
      </c>
      <c r="DU85" s="20">
        <f t="shared" si="221"/>
        <v>78.930954226836789</v>
      </c>
      <c r="DV85" s="20">
        <f t="shared" si="222"/>
        <v>75.874417041483269</v>
      </c>
      <c r="DW85" s="20">
        <f t="shared" si="223"/>
        <v>73.155293347607568</v>
      </c>
      <c r="DX85" s="20">
        <f t="shared" si="224"/>
        <v>70.759551158785868</v>
      </c>
      <c r="DY85" s="20">
        <f t="shared" si="225"/>
        <v>68.669714773123999</v>
      </c>
      <c r="DZ85" s="20">
        <f t="shared" si="226"/>
        <v>66.865072336060308</v>
      </c>
      <c r="EA85" s="20">
        <f t="shared" si="227"/>
        <v>65.32191381494404</v>
      </c>
      <c r="EB85" s="20">
        <f t="shared" si="228"/>
        <v>64.013796310321112</v>
      </c>
      <c r="EC85" s="20">
        <f t="shared" si="229"/>
        <v>62.911833568760102</v>
      </c>
      <c r="ED85" s="20">
        <f t="shared" si="230"/>
        <v>61.985006544937505</v>
      </c>
      <c r="EE85" s="20">
        <f t="shared" si="231"/>
        <v>61.200491876200637</v>
      </c>
      <c r="EF85" s="20">
        <f t="shared" si="232"/>
        <v>60.524005170390062</v>
      </c>
      <c r="EG85" s="20">
        <f t="shared" si="233"/>
        <v>59.92015605715401</v>
      </c>
      <c r="EH85" s="18">
        <f t="shared" si="234"/>
        <v>59.352812004995634</v>
      </c>
    </row>
    <row r="86" spans="5:138" x14ac:dyDescent="0.3">
      <c r="E86" s="54"/>
      <c r="F86" s="22">
        <v>6.0000000000000005E-2</v>
      </c>
      <c r="G86" s="31">
        <f t="shared" si="139"/>
        <v>300</v>
      </c>
      <c r="H86" s="32">
        <f t="shared" si="235"/>
        <v>287.55731592280461</v>
      </c>
      <c r="I86" s="32">
        <f t="shared" si="236"/>
        <v>275.1789881112411</v>
      </c>
      <c r="J86" s="32">
        <f t="shared" si="237"/>
        <v>262.92862057242809</v>
      </c>
      <c r="K86" s="32">
        <f t="shared" si="238"/>
        <v>250.8683231250433</v>
      </c>
      <c r="L86" s="32">
        <f t="shared" si="239"/>
        <v>239.05798991969306</v>
      </c>
      <c r="M86" s="32">
        <f t="shared" si="240"/>
        <v>227.55460812415356</v>
      </c>
      <c r="N86" s="32">
        <f t="shared" si="241"/>
        <v>216.41160589358748</v>
      </c>
      <c r="O86" s="32">
        <f t="shared" si="242"/>
        <v>205.67824798272486</v>
      </c>
      <c r="P86" s="32">
        <f t="shared" si="243"/>
        <v>195.39908644890821</v>
      </c>
      <c r="Q86" s="32">
        <f t="shared" si="244"/>
        <v>185.61347286944118</v>
      </c>
      <c r="R86" s="32">
        <f t="shared" si="245"/>
        <v>176.35513738430183</v>
      </c>
      <c r="S86" s="32">
        <f t="shared" si="246"/>
        <v>167.65183870795158</v>
      </c>
      <c r="T86" s="32">
        <f t="shared" si="247"/>
        <v>159.52508806398606</v>
      </c>
      <c r="U86" s="32">
        <f t="shared" si="248"/>
        <v>151.98994881503029</v>
      </c>
      <c r="V86" s="32">
        <f t="shared" si="249"/>
        <v>145.05491241676177</v>
      </c>
      <c r="W86" s="32">
        <f t="shared" si="250"/>
        <v>138.72185024525521</v>
      </c>
      <c r="X86" s="32">
        <f t="shared" si="251"/>
        <v>132.98603985299516</v>
      </c>
      <c r="Y86" s="32">
        <f t="shared" si="252"/>
        <v>127.8362633182351</v>
      </c>
      <c r="Z86" s="32">
        <f t="shared" si="253"/>
        <v>123.25497457719479</v>
      </c>
      <c r="AA86" s="32">
        <f t="shared" si="254"/>
        <v>119.21853197592415</v>
      </c>
      <c r="AB86" s="32">
        <f t="shared" si="255"/>
        <v>115.69749175042317</v>
      </c>
      <c r="AC86" s="32">
        <f t="shared" si="256"/>
        <v>112.65695773678317</v>
      </c>
      <c r="AD86" s="32">
        <f t="shared" si="257"/>
        <v>110.05698232030858</v>
      </c>
      <c r="AE86" s="32">
        <f t="shared" si="258"/>
        <v>107.85301344262032</v>
      </c>
      <c r="AF86" s="32">
        <f t="shared" si="259"/>
        <v>105.99638238448568</v>
      </c>
      <c r="AG86" s="32">
        <f t="shared" si="260"/>
        <v>104.43482701328512</v>
      </c>
      <c r="AH86" s="32">
        <f t="shared" si="261"/>
        <v>103.11304521014014</v>
      </c>
      <c r="AI86" s="32">
        <f t="shared" si="262"/>
        <v>101.97327325501587</v>
      </c>
      <c r="AJ86" s="32">
        <f t="shared" si="263"/>
        <v>100.95588403142654</v>
      </c>
      <c r="AK86" s="31">
        <f t="shared" si="141"/>
        <v>100</v>
      </c>
      <c r="AL86" s="55"/>
      <c r="AM86" s="22">
        <v>6.0000000000000005E-2</v>
      </c>
      <c r="AN86" s="18">
        <f t="shared" si="142"/>
        <v>-1076400000</v>
      </c>
      <c r="AO86" s="20">
        <f t="shared" si="143"/>
        <v>-1031755649.5310229</v>
      </c>
      <c r="AP86" s="20">
        <f t="shared" si="144"/>
        <v>-987342209.34313285</v>
      </c>
      <c r="AQ86" s="20">
        <f t="shared" si="145"/>
        <v>-943387890.61387181</v>
      </c>
      <c r="AR86" s="20">
        <f t="shared" si="146"/>
        <v>-900115543.37265527</v>
      </c>
      <c r="AS86" s="20">
        <f t="shared" si="147"/>
        <v>-857740067.83185863</v>
      </c>
      <c r="AT86" s="20">
        <f t="shared" si="148"/>
        <v>-816465933.94946313</v>
      </c>
      <c r="AU86" s="20">
        <f t="shared" si="149"/>
        <v>-776484841.94619179</v>
      </c>
      <c r="AV86" s="20">
        <f t="shared" si="150"/>
        <v>-737973553.76201689</v>
      </c>
      <c r="AW86" s="20">
        <f t="shared" si="151"/>
        <v>-701091922.17868268</v>
      </c>
      <c r="AX86" s="20">
        <f t="shared" si="152"/>
        <v>-665981140.65555477</v>
      </c>
      <c r="AY86" s="20">
        <f t="shared" si="153"/>
        <v>-632762232.93487489</v>
      </c>
      <c r="AZ86" s="20">
        <f t="shared" si="154"/>
        <v>-601534797.28413033</v>
      </c>
      <c r="BA86" s="20">
        <f t="shared" si="155"/>
        <v>-572376015.97358191</v>
      </c>
      <c r="BB86" s="20">
        <f t="shared" si="156"/>
        <v>-545339936.34832871</v>
      </c>
      <c r="BC86" s="20">
        <f t="shared" si="157"/>
        <v>-520457025.7513411</v>
      </c>
      <c r="BD86" s="20">
        <f t="shared" si="158"/>
        <v>-497733998.67997569</v>
      </c>
      <c r="BE86" s="20">
        <f t="shared" si="159"/>
        <v>-477153910.99254656</v>
      </c>
      <c r="BF86" s="20">
        <f t="shared" si="160"/>
        <v>-458676512.78582746</v>
      </c>
      <c r="BG86" s="20">
        <f t="shared" si="161"/>
        <v>-442238848.78297478</v>
      </c>
      <c r="BH86" s="20">
        <f t="shared" si="162"/>
        <v>-427756092.72961587</v>
      </c>
      <c r="BI86" s="20">
        <f t="shared" si="163"/>
        <v>-415122600.4005183</v>
      </c>
      <c r="BJ86" s="20">
        <f t="shared" si="164"/>
        <v>-404213164.35957801</v>
      </c>
      <c r="BK86" s="20">
        <f t="shared" si="165"/>
        <v>-394884452.56526721</v>
      </c>
      <c r="BL86" s="20">
        <f t="shared" si="166"/>
        <v>-386976612.23212171</v>
      </c>
      <c r="BM86" s="20">
        <f t="shared" si="167"/>
        <v>-380315019.99553466</v>
      </c>
      <c r="BN86" s="20">
        <f t="shared" si="168"/>
        <v>-374712159.32366699</v>
      </c>
      <c r="BO86" s="20">
        <f t="shared" si="169"/>
        <v>-369969606.21398282</v>
      </c>
      <c r="BP86" s="20">
        <f t="shared" si="170"/>
        <v>-365880104.43899691</v>
      </c>
      <c r="BQ86" s="20">
        <f t="shared" si="171"/>
        <v>-362229711.90475851</v>
      </c>
      <c r="BR86" s="18">
        <f t="shared" si="172"/>
        <v>-358800000</v>
      </c>
      <c r="BT86" s="52"/>
      <c r="BU86" s="22">
        <v>6.0000000000000005E-2</v>
      </c>
      <c r="BV86" s="18">
        <f t="shared" si="173"/>
        <v>0.40647187995004946</v>
      </c>
      <c r="BW86" s="20">
        <f t="shared" si="174"/>
        <v>0.40647187995004946</v>
      </c>
      <c r="BX86" s="20">
        <f t="shared" si="175"/>
        <v>0.40647187995004946</v>
      </c>
      <c r="BY86" s="20">
        <f t="shared" si="176"/>
        <v>0.40647187995004946</v>
      </c>
      <c r="BZ86" s="20">
        <f t="shared" si="177"/>
        <v>0.40647187995004946</v>
      </c>
      <c r="CA86" s="20">
        <f t="shared" si="178"/>
        <v>0.40647187995004946</v>
      </c>
      <c r="CB86" s="20">
        <f t="shared" si="179"/>
        <v>0.40647187995004946</v>
      </c>
      <c r="CC86" s="20">
        <f t="shared" si="180"/>
        <v>0.40647187995004946</v>
      </c>
      <c r="CD86" s="20">
        <f t="shared" si="181"/>
        <v>0.40647187995004946</v>
      </c>
      <c r="CE86" s="20">
        <f t="shared" si="182"/>
        <v>0.40647187995004946</v>
      </c>
      <c r="CF86" s="20">
        <f t="shared" si="183"/>
        <v>0.40647187995004946</v>
      </c>
      <c r="CG86" s="20">
        <f t="shared" si="184"/>
        <v>0.40647187995004946</v>
      </c>
      <c r="CH86" s="20">
        <f t="shared" si="185"/>
        <v>0.40647187995004946</v>
      </c>
      <c r="CI86" s="20">
        <f t="shared" si="186"/>
        <v>0.40647187995004946</v>
      </c>
      <c r="CJ86" s="20">
        <f t="shared" si="187"/>
        <v>0.40647187995004946</v>
      </c>
      <c r="CK86" s="20">
        <f t="shared" si="188"/>
        <v>0.40647187995004946</v>
      </c>
      <c r="CL86" s="20">
        <f t="shared" si="189"/>
        <v>0.40647187995004946</v>
      </c>
      <c r="CM86" s="20">
        <f t="shared" si="190"/>
        <v>0.40647187995004946</v>
      </c>
      <c r="CN86" s="20">
        <f t="shared" si="191"/>
        <v>0.40647187995004946</v>
      </c>
      <c r="CO86" s="20">
        <f t="shared" si="192"/>
        <v>0.40647187995004946</v>
      </c>
      <c r="CP86" s="20">
        <f t="shared" si="193"/>
        <v>0.40647187995004946</v>
      </c>
      <c r="CQ86" s="20">
        <f t="shared" si="194"/>
        <v>0.40647187995004946</v>
      </c>
      <c r="CR86" s="20">
        <f t="shared" si="195"/>
        <v>0.40647187995004946</v>
      </c>
      <c r="CS86" s="20">
        <f t="shared" si="196"/>
        <v>0.40647187995004946</v>
      </c>
      <c r="CT86" s="20">
        <f t="shared" si="197"/>
        <v>0.40647187995004946</v>
      </c>
      <c r="CU86" s="20">
        <f t="shared" si="198"/>
        <v>0.40647187995004946</v>
      </c>
      <c r="CV86" s="20">
        <f t="shared" si="199"/>
        <v>0.40647187995004946</v>
      </c>
      <c r="CW86" s="20">
        <f t="shared" si="200"/>
        <v>0.40647187995004946</v>
      </c>
      <c r="CX86" s="20">
        <f t="shared" si="201"/>
        <v>0.40647187995004946</v>
      </c>
      <c r="CY86" s="20">
        <f t="shared" si="202"/>
        <v>0.40647187995004946</v>
      </c>
      <c r="CZ86" s="18">
        <f t="shared" si="203"/>
        <v>0.40647187995004946</v>
      </c>
      <c r="DB86" s="52"/>
      <c r="DC86" s="22">
        <v>6.0000000000000005E-2</v>
      </c>
      <c r="DD86" s="18">
        <f t="shared" si="204"/>
        <v>178.05843601498518</v>
      </c>
      <c r="DE86" s="20">
        <f t="shared" si="205"/>
        <v>170.67335312627193</v>
      </c>
      <c r="DF86" s="20">
        <f t="shared" si="206"/>
        <v>163.32646749091262</v>
      </c>
      <c r="DG86" s="20">
        <f t="shared" si="207"/>
        <v>156.05552987568001</v>
      </c>
      <c r="DH86" s="20">
        <f t="shared" si="208"/>
        <v>148.8974042044905</v>
      </c>
      <c r="DI86" s="20">
        <f t="shared" si="209"/>
        <v>141.88763933995546</v>
      </c>
      <c r="DJ86" s="20">
        <f t="shared" si="210"/>
        <v>135.06005876863208</v>
      </c>
      <c r="DK86" s="20">
        <f t="shared" si="211"/>
        <v>128.44637360301178</v>
      </c>
      <c r="DL86" s="20">
        <f t="shared" si="212"/>
        <v>122.07582386035422</v>
      </c>
      <c r="DM86" s="20">
        <f t="shared" si="213"/>
        <v>115.97485243949826</v>
      </c>
      <c r="DN86" s="20">
        <f t="shared" si="214"/>
        <v>110.16681560814192</v>
      </c>
      <c r="DO86" s="20">
        <f t="shared" si="215"/>
        <v>104.67173315285541</v>
      </c>
      <c r="DP86" s="20">
        <f t="shared" si="216"/>
        <v>99.506080651248041</v>
      </c>
      <c r="DQ86" s="20">
        <f t="shared" si="217"/>
        <v>94.682625619420449</v>
      </c>
      <c r="DR86" s="20">
        <f t="shared" si="218"/>
        <v>90.21030858667315</v>
      </c>
      <c r="DS86" s="20">
        <f t="shared" si="219"/>
        <v>86.094169470730847</v>
      </c>
      <c r="DT86" s="20">
        <f t="shared" si="220"/>
        <v>82.335318985917112</v>
      </c>
      <c r="DU86" s="20">
        <f t="shared" si="221"/>
        <v>78.930954226836022</v>
      </c>
      <c r="DV86" s="20">
        <f t="shared" si="222"/>
        <v>75.874417041482531</v>
      </c>
      <c r="DW86" s="20">
        <f t="shared" si="223"/>
        <v>73.155293347606872</v>
      </c>
      <c r="DX86" s="20">
        <f t="shared" si="224"/>
        <v>70.759551158785186</v>
      </c>
      <c r="DY86" s="20">
        <f t="shared" si="225"/>
        <v>68.669714773123331</v>
      </c>
      <c r="DZ86" s="20">
        <f t="shared" si="226"/>
        <v>66.865072336059654</v>
      </c>
      <c r="EA86" s="20">
        <f t="shared" si="227"/>
        <v>65.3219138149434</v>
      </c>
      <c r="EB86" s="20">
        <f t="shared" si="228"/>
        <v>64.013796310320487</v>
      </c>
      <c r="EC86" s="20">
        <f t="shared" si="229"/>
        <v>62.911833568759491</v>
      </c>
      <c r="ED86" s="20">
        <f t="shared" si="230"/>
        <v>61.985006544936901</v>
      </c>
      <c r="EE86" s="20">
        <f t="shared" si="231"/>
        <v>61.20049187620004</v>
      </c>
      <c r="EF86" s="20">
        <f t="shared" si="232"/>
        <v>60.524005170389472</v>
      </c>
      <c r="EG86" s="20">
        <f t="shared" si="233"/>
        <v>59.92015605715342</v>
      </c>
      <c r="EH86" s="18">
        <f t="shared" si="234"/>
        <v>59.352812004995052</v>
      </c>
    </row>
    <row r="87" spans="5:138" x14ac:dyDescent="0.3">
      <c r="E87" s="54"/>
      <c r="F87" s="22">
        <v>5.6666666666666671E-2</v>
      </c>
      <c r="G87" s="31">
        <f t="shared" si="139"/>
        <v>300</v>
      </c>
      <c r="H87" s="32">
        <f t="shared" si="235"/>
        <v>287.55731592280466</v>
      </c>
      <c r="I87" s="32">
        <f t="shared" si="236"/>
        <v>275.1789881112411</v>
      </c>
      <c r="J87" s="32">
        <f t="shared" si="237"/>
        <v>262.92862057242814</v>
      </c>
      <c r="K87" s="32">
        <f t="shared" si="238"/>
        <v>250.86832312504336</v>
      </c>
      <c r="L87" s="32">
        <f t="shared" si="239"/>
        <v>239.05798991969309</v>
      </c>
      <c r="M87" s="32">
        <f t="shared" si="240"/>
        <v>227.55460812415362</v>
      </c>
      <c r="N87" s="32">
        <f t="shared" si="241"/>
        <v>216.41160589358748</v>
      </c>
      <c r="O87" s="32">
        <f t="shared" si="242"/>
        <v>205.67824798272488</v>
      </c>
      <c r="P87" s="32">
        <f t="shared" si="243"/>
        <v>195.39908644890826</v>
      </c>
      <c r="Q87" s="32">
        <f t="shared" si="244"/>
        <v>185.61347286944121</v>
      </c>
      <c r="R87" s="32">
        <f t="shared" si="245"/>
        <v>176.35513738430186</v>
      </c>
      <c r="S87" s="32">
        <f t="shared" si="246"/>
        <v>167.65183870795158</v>
      </c>
      <c r="T87" s="32">
        <f t="shared" si="247"/>
        <v>159.52508806398612</v>
      </c>
      <c r="U87" s="32">
        <f t="shared" si="248"/>
        <v>151.98994881503035</v>
      </c>
      <c r="V87" s="32">
        <f t="shared" si="249"/>
        <v>145.05491241676179</v>
      </c>
      <c r="W87" s="32">
        <f t="shared" si="250"/>
        <v>138.72185024525527</v>
      </c>
      <c r="X87" s="32">
        <f t="shared" si="251"/>
        <v>132.98603985299519</v>
      </c>
      <c r="Y87" s="32">
        <f t="shared" si="252"/>
        <v>127.83626331823513</v>
      </c>
      <c r="Z87" s="32">
        <f t="shared" si="253"/>
        <v>123.25497457719482</v>
      </c>
      <c r="AA87" s="32">
        <f t="shared" si="254"/>
        <v>119.21853197592418</v>
      </c>
      <c r="AB87" s="32">
        <f t="shared" si="255"/>
        <v>115.69749175042317</v>
      </c>
      <c r="AC87" s="32">
        <f t="shared" si="256"/>
        <v>112.6569577367832</v>
      </c>
      <c r="AD87" s="32">
        <f t="shared" si="257"/>
        <v>110.05698232030858</v>
      </c>
      <c r="AE87" s="32">
        <f t="shared" si="258"/>
        <v>107.85301344262034</v>
      </c>
      <c r="AF87" s="32">
        <f t="shared" si="259"/>
        <v>105.99638238448568</v>
      </c>
      <c r="AG87" s="32">
        <f t="shared" si="260"/>
        <v>104.43482701328513</v>
      </c>
      <c r="AH87" s="32">
        <f t="shared" si="261"/>
        <v>103.11304521014016</v>
      </c>
      <c r="AI87" s="32">
        <f t="shared" si="262"/>
        <v>101.97327325501587</v>
      </c>
      <c r="AJ87" s="32">
        <f t="shared" si="263"/>
        <v>100.95588403142656</v>
      </c>
      <c r="AK87" s="31">
        <f t="shared" si="141"/>
        <v>100</v>
      </c>
      <c r="AL87" s="55"/>
      <c r="AM87" s="22">
        <v>5.6666666666666671E-2</v>
      </c>
      <c r="AN87" s="18">
        <f t="shared" si="142"/>
        <v>-1076400000</v>
      </c>
      <c r="AO87" s="20">
        <f t="shared" si="143"/>
        <v>-1031755649.5310231</v>
      </c>
      <c r="AP87" s="20">
        <f t="shared" si="144"/>
        <v>-987342209.34313321</v>
      </c>
      <c r="AQ87" s="20">
        <f t="shared" si="145"/>
        <v>-943387890.61387217</v>
      </c>
      <c r="AR87" s="20">
        <f t="shared" si="146"/>
        <v>-900115543.37265551</v>
      </c>
      <c r="AS87" s="20">
        <f t="shared" si="147"/>
        <v>-857740067.83185887</v>
      </c>
      <c r="AT87" s="20">
        <f t="shared" si="148"/>
        <v>-816465933.94946325</v>
      </c>
      <c r="AU87" s="20">
        <f t="shared" si="149"/>
        <v>-776484841.94619179</v>
      </c>
      <c r="AV87" s="20">
        <f t="shared" si="150"/>
        <v>-737973553.76201689</v>
      </c>
      <c r="AW87" s="20">
        <f t="shared" si="151"/>
        <v>-701091922.1786828</v>
      </c>
      <c r="AX87" s="20">
        <f t="shared" si="152"/>
        <v>-665981140.65555501</v>
      </c>
      <c r="AY87" s="20">
        <f t="shared" si="153"/>
        <v>-632762232.93487501</v>
      </c>
      <c r="AZ87" s="20">
        <f t="shared" si="154"/>
        <v>-601534797.28413033</v>
      </c>
      <c r="BA87" s="20">
        <f t="shared" si="155"/>
        <v>-572376015.97358203</v>
      </c>
      <c r="BB87" s="20">
        <f t="shared" si="156"/>
        <v>-545339936.34832883</v>
      </c>
      <c r="BC87" s="20">
        <f t="shared" si="157"/>
        <v>-520457025.75134134</v>
      </c>
      <c r="BD87" s="20">
        <f t="shared" si="158"/>
        <v>-497733998.67997593</v>
      </c>
      <c r="BE87" s="20">
        <f t="shared" si="159"/>
        <v>-477153910.99254674</v>
      </c>
      <c r="BF87" s="20">
        <f t="shared" si="160"/>
        <v>-458676512.7858277</v>
      </c>
      <c r="BG87" s="20">
        <f t="shared" si="161"/>
        <v>-442238848.78297502</v>
      </c>
      <c r="BH87" s="20">
        <f t="shared" si="162"/>
        <v>-427756092.72961593</v>
      </c>
      <c r="BI87" s="20">
        <f t="shared" si="163"/>
        <v>-415122600.4005183</v>
      </c>
      <c r="BJ87" s="20">
        <f t="shared" si="164"/>
        <v>-404213164.35957801</v>
      </c>
      <c r="BK87" s="20">
        <f t="shared" si="165"/>
        <v>-394884452.56526721</v>
      </c>
      <c r="BL87" s="20">
        <f t="shared" si="166"/>
        <v>-386976612.23212171</v>
      </c>
      <c r="BM87" s="20">
        <f t="shared" si="167"/>
        <v>-380315019.99553466</v>
      </c>
      <c r="BN87" s="20">
        <f t="shared" si="168"/>
        <v>-374712159.32366699</v>
      </c>
      <c r="BO87" s="20">
        <f t="shared" si="169"/>
        <v>-369969606.21398282</v>
      </c>
      <c r="BP87" s="20">
        <f t="shared" si="170"/>
        <v>-365880104.43899691</v>
      </c>
      <c r="BQ87" s="20">
        <f t="shared" si="171"/>
        <v>-362229711.90475851</v>
      </c>
      <c r="BR87" s="18">
        <f t="shared" si="172"/>
        <v>-358800000</v>
      </c>
      <c r="BT87" s="52"/>
      <c r="BU87" s="22">
        <v>5.6666666666666671E-2</v>
      </c>
      <c r="BV87" s="18">
        <f t="shared" si="173"/>
        <v>0.40647187995008499</v>
      </c>
      <c r="BW87" s="20">
        <f t="shared" si="174"/>
        <v>0.40647187995008499</v>
      </c>
      <c r="BX87" s="20">
        <f t="shared" si="175"/>
        <v>0.40647187995008499</v>
      </c>
      <c r="BY87" s="20">
        <f t="shared" si="176"/>
        <v>0.40647187995008499</v>
      </c>
      <c r="BZ87" s="20">
        <f t="shared" si="177"/>
        <v>0.40647187995008499</v>
      </c>
      <c r="CA87" s="20">
        <f t="shared" si="178"/>
        <v>0.40647187995008499</v>
      </c>
      <c r="CB87" s="20">
        <f t="shared" si="179"/>
        <v>0.40647187995008499</v>
      </c>
      <c r="CC87" s="20">
        <f t="shared" si="180"/>
        <v>0.40647187995008499</v>
      </c>
      <c r="CD87" s="20">
        <f t="shared" si="181"/>
        <v>0.40647187995008499</v>
      </c>
      <c r="CE87" s="20">
        <f t="shared" si="182"/>
        <v>0.40647187995008499</v>
      </c>
      <c r="CF87" s="20">
        <f t="shared" si="183"/>
        <v>0.40647187995008499</v>
      </c>
      <c r="CG87" s="20">
        <f t="shared" si="184"/>
        <v>0.40647187995008499</v>
      </c>
      <c r="CH87" s="20">
        <f t="shared" si="185"/>
        <v>0.40647187995008499</v>
      </c>
      <c r="CI87" s="20">
        <f t="shared" si="186"/>
        <v>0.40647187995008499</v>
      </c>
      <c r="CJ87" s="20">
        <f t="shared" si="187"/>
        <v>0.40647187995008499</v>
      </c>
      <c r="CK87" s="20">
        <f t="shared" si="188"/>
        <v>0.40647187995008499</v>
      </c>
      <c r="CL87" s="20">
        <f t="shared" si="189"/>
        <v>0.40647187995008499</v>
      </c>
      <c r="CM87" s="20">
        <f t="shared" si="190"/>
        <v>0.40647187995008499</v>
      </c>
      <c r="CN87" s="20">
        <f t="shared" si="191"/>
        <v>0.40647187995008499</v>
      </c>
      <c r="CO87" s="20">
        <f t="shared" si="192"/>
        <v>0.40647187995008499</v>
      </c>
      <c r="CP87" s="20">
        <f t="shared" si="193"/>
        <v>0.40647187995008499</v>
      </c>
      <c r="CQ87" s="20">
        <f t="shared" si="194"/>
        <v>0.40647187995008499</v>
      </c>
      <c r="CR87" s="20">
        <f t="shared" si="195"/>
        <v>0.40647187995008499</v>
      </c>
      <c r="CS87" s="20">
        <f t="shared" si="196"/>
        <v>0.40647187995008499</v>
      </c>
      <c r="CT87" s="20">
        <f t="shared" si="197"/>
        <v>0.40647187995008499</v>
      </c>
      <c r="CU87" s="20">
        <f t="shared" si="198"/>
        <v>0.40647187995008499</v>
      </c>
      <c r="CV87" s="20">
        <f t="shared" si="199"/>
        <v>0.40647187995008499</v>
      </c>
      <c r="CW87" s="20">
        <f t="shared" si="200"/>
        <v>0.40647187995008499</v>
      </c>
      <c r="CX87" s="20">
        <f t="shared" si="201"/>
        <v>0.40647187995008499</v>
      </c>
      <c r="CY87" s="20">
        <f t="shared" si="202"/>
        <v>0.40647187995008499</v>
      </c>
      <c r="CZ87" s="18">
        <f t="shared" si="203"/>
        <v>0.40647187995008499</v>
      </c>
      <c r="DB87" s="52"/>
      <c r="DC87" s="22">
        <v>5.6666666666666671E-2</v>
      </c>
      <c r="DD87" s="18">
        <f t="shared" si="204"/>
        <v>178.05843601497452</v>
      </c>
      <c r="DE87" s="20">
        <f t="shared" si="205"/>
        <v>170.67335312626176</v>
      </c>
      <c r="DF87" s="20">
        <f t="shared" si="206"/>
        <v>163.32646749090287</v>
      </c>
      <c r="DG87" s="20">
        <f t="shared" si="207"/>
        <v>156.05552987567071</v>
      </c>
      <c r="DH87" s="20">
        <f t="shared" si="208"/>
        <v>148.89740420448163</v>
      </c>
      <c r="DI87" s="20">
        <f t="shared" si="209"/>
        <v>141.88763933994699</v>
      </c>
      <c r="DJ87" s="20">
        <f t="shared" si="210"/>
        <v>135.06005876862403</v>
      </c>
      <c r="DK87" s="20">
        <f t="shared" si="211"/>
        <v>128.44637360300408</v>
      </c>
      <c r="DL87" s="20">
        <f t="shared" si="212"/>
        <v>122.07582386034694</v>
      </c>
      <c r="DM87" s="20">
        <f t="shared" si="213"/>
        <v>115.97485243949137</v>
      </c>
      <c r="DN87" s="20">
        <f t="shared" si="214"/>
        <v>110.16681560813535</v>
      </c>
      <c r="DO87" s="20">
        <f t="shared" si="215"/>
        <v>104.67173315284917</v>
      </c>
      <c r="DP87" s="20">
        <f t="shared" si="216"/>
        <v>99.506080651242087</v>
      </c>
      <c r="DQ87" s="20">
        <f t="shared" si="217"/>
        <v>94.682625619414821</v>
      </c>
      <c r="DR87" s="20">
        <f t="shared" si="218"/>
        <v>90.210308586667779</v>
      </c>
      <c r="DS87" s="20">
        <f t="shared" si="219"/>
        <v>86.094169470725717</v>
      </c>
      <c r="DT87" s="20">
        <f t="shared" si="220"/>
        <v>82.33531898591221</v>
      </c>
      <c r="DU87" s="20">
        <f t="shared" si="221"/>
        <v>78.930954226831332</v>
      </c>
      <c r="DV87" s="20">
        <f t="shared" si="222"/>
        <v>75.874417041478011</v>
      </c>
      <c r="DW87" s="20">
        <f t="shared" si="223"/>
        <v>73.155293347602523</v>
      </c>
      <c r="DX87" s="20">
        <f t="shared" si="224"/>
        <v>70.759551158780965</v>
      </c>
      <c r="DY87" s="20">
        <f t="shared" si="225"/>
        <v>68.66971477311921</v>
      </c>
      <c r="DZ87" s="20">
        <f t="shared" si="226"/>
        <v>66.865072336055661</v>
      </c>
      <c r="EA87" s="20">
        <f t="shared" si="227"/>
        <v>65.321913814939492</v>
      </c>
      <c r="EB87" s="20">
        <f t="shared" si="228"/>
        <v>64.013796310316664</v>
      </c>
      <c r="EC87" s="20">
        <f t="shared" si="229"/>
        <v>62.911833568755725</v>
      </c>
      <c r="ED87" s="20">
        <f t="shared" si="230"/>
        <v>61.985006544933206</v>
      </c>
      <c r="EE87" s="20">
        <f t="shared" si="231"/>
        <v>61.200491876196388</v>
      </c>
      <c r="EF87" s="20">
        <f t="shared" si="232"/>
        <v>60.524005170385855</v>
      </c>
      <c r="EG87" s="20">
        <f t="shared" si="233"/>
        <v>59.920156057149846</v>
      </c>
      <c r="EH87" s="18">
        <f t="shared" si="234"/>
        <v>59.352812004991506</v>
      </c>
    </row>
    <row r="88" spans="5:138" x14ac:dyDescent="0.3">
      <c r="E88" s="54"/>
      <c r="F88" s="22">
        <v>5.3333333333333337E-2</v>
      </c>
      <c r="G88" s="31">
        <f t="shared" si="139"/>
        <v>300</v>
      </c>
      <c r="H88" s="32">
        <f t="shared" si="235"/>
        <v>287.55731592280472</v>
      </c>
      <c r="I88" s="32">
        <f t="shared" si="236"/>
        <v>275.1789881112411</v>
      </c>
      <c r="J88" s="32">
        <f t="shared" si="237"/>
        <v>262.92862057242814</v>
      </c>
      <c r="K88" s="32">
        <f t="shared" si="238"/>
        <v>250.86832312504339</v>
      </c>
      <c r="L88" s="32">
        <f t="shared" si="239"/>
        <v>239.05798991969311</v>
      </c>
      <c r="M88" s="32">
        <f t="shared" si="240"/>
        <v>227.55460812415362</v>
      </c>
      <c r="N88" s="32">
        <f t="shared" si="241"/>
        <v>216.41160589358748</v>
      </c>
      <c r="O88" s="32">
        <f t="shared" si="242"/>
        <v>205.67824798272494</v>
      </c>
      <c r="P88" s="32">
        <f t="shared" si="243"/>
        <v>195.39908644890829</v>
      </c>
      <c r="Q88" s="32">
        <f t="shared" si="244"/>
        <v>185.61347286944118</v>
      </c>
      <c r="R88" s="32">
        <f t="shared" si="245"/>
        <v>176.35513738430186</v>
      </c>
      <c r="S88" s="32">
        <f t="shared" si="246"/>
        <v>167.65183870795158</v>
      </c>
      <c r="T88" s="32">
        <f t="shared" si="247"/>
        <v>159.52508806398612</v>
      </c>
      <c r="U88" s="32">
        <f t="shared" si="248"/>
        <v>151.98994881503035</v>
      </c>
      <c r="V88" s="32">
        <f t="shared" si="249"/>
        <v>145.05491241676179</v>
      </c>
      <c r="W88" s="32">
        <f t="shared" si="250"/>
        <v>138.72185024525527</v>
      </c>
      <c r="X88" s="32">
        <f t="shared" si="251"/>
        <v>132.98603985299519</v>
      </c>
      <c r="Y88" s="32">
        <f t="shared" si="252"/>
        <v>127.83626331823514</v>
      </c>
      <c r="Z88" s="32">
        <f t="shared" si="253"/>
        <v>123.25497457719484</v>
      </c>
      <c r="AA88" s="32">
        <f t="shared" si="254"/>
        <v>119.21853197592419</v>
      </c>
      <c r="AB88" s="32">
        <f t="shared" si="255"/>
        <v>115.69749175042318</v>
      </c>
      <c r="AC88" s="32">
        <f t="shared" si="256"/>
        <v>112.6569577367832</v>
      </c>
      <c r="AD88" s="32">
        <f t="shared" si="257"/>
        <v>110.05698232030861</v>
      </c>
      <c r="AE88" s="32">
        <f t="shared" si="258"/>
        <v>107.85301344262032</v>
      </c>
      <c r="AF88" s="32">
        <f t="shared" si="259"/>
        <v>105.99638238448568</v>
      </c>
      <c r="AG88" s="32">
        <f t="shared" si="260"/>
        <v>104.43482701328513</v>
      </c>
      <c r="AH88" s="32">
        <f t="shared" si="261"/>
        <v>103.11304521014016</v>
      </c>
      <c r="AI88" s="32">
        <f t="shared" si="262"/>
        <v>101.97327325501587</v>
      </c>
      <c r="AJ88" s="32">
        <f t="shared" si="263"/>
        <v>100.95588403142656</v>
      </c>
      <c r="AK88" s="31">
        <f t="shared" si="141"/>
        <v>100</v>
      </c>
      <c r="AL88" s="55"/>
      <c r="AM88" s="22">
        <v>5.3333333333333337E-2</v>
      </c>
      <c r="AN88" s="18">
        <f t="shared" si="142"/>
        <v>-1076400000</v>
      </c>
      <c r="AO88" s="20">
        <f t="shared" si="143"/>
        <v>-1031755649.5310231</v>
      </c>
      <c r="AP88" s="20">
        <f t="shared" si="144"/>
        <v>-987342209.34313321</v>
      </c>
      <c r="AQ88" s="20">
        <f t="shared" si="145"/>
        <v>-943387890.61387217</v>
      </c>
      <c r="AR88" s="20">
        <f t="shared" si="146"/>
        <v>-900115543.37265563</v>
      </c>
      <c r="AS88" s="20">
        <f t="shared" si="147"/>
        <v>-857740067.83185887</v>
      </c>
      <c r="AT88" s="20">
        <f t="shared" si="148"/>
        <v>-816465933.94946325</v>
      </c>
      <c r="AU88" s="20">
        <f t="shared" si="149"/>
        <v>-776484841.94619179</v>
      </c>
      <c r="AV88" s="20">
        <f t="shared" si="150"/>
        <v>-737973553.76201701</v>
      </c>
      <c r="AW88" s="20">
        <f t="shared" si="151"/>
        <v>-701091922.1786828</v>
      </c>
      <c r="AX88" s="20">
        <f t="shared" si="152"/>
        <v>-665981140.65555501</v>
      </c>
      <c r="AY88" s="20">
        <f t="shared" si="153"/>
        <v>-632762232.93487501</v>
      </c>
      <c r="AZ88" s="20">
        <f t="shared" si="154"/>
        <v>-601534797.28413033</v>
      </c>
      <c r="BA88" s="20">
        <f t="shared" si="155"/>
        <v>-572376015.97358203</v>
      </c>
      <c r="BB88" s="20">
        <f t="shared" si="156"/>
        <v>-545339936.34832883</v>
      </c>
      <c r="BC88" s="20">
        <f t="shared" si="157"/>
        <v>-520457025.75134134</v>
      </c>
      <c r="BD88" s="20">
        <f t="shared" si="158"/>
        <v>-497733998.67997593</v>
      </c>
      <c r="BE88" s="20">
        <f t="shared" si="159"/>
        <v>-477153910.99254674</v>
      </c>
      <c r="BF88" s="20">
        <f t="shared" si="160"/>
        <v>-458676512.7858277</v>
      </c>
      <c r="BG88" s="20">
        <f t="shared" si="161"/>
        <v>-442238848.78297508</v>
      </c>
      <c r="BH88" s="20">
        <f t="shared" si="162"/>
        <v>-427756092.72961593</v>
      </c>
      <c r="BI88" s="20">
        <f t="shared" si="163"/>
        <v>-415122600.40051836</v>
      </c>
      <c r="BJ88" s="20">
        <f t="shared" si="164"/>
        <v>-404213164.35957813</v>
      </c>
      <c r="BK88" s="20">
        <f t="shared" si="165"/>
        <v>-394884452.56526721</v>
      </c>
      <c r="BL88" s="20">
        <f t="shared" si="166"/>
        <v>-386976612.23212171</v>
      </c>
      <c r="BM88" s="20">
        <f t="shared" si="167"/>
        <v>-380315019.99553466</v>
      </c>
      <c r="BN88" s="20">
        <f t="shared" si="168"/>
        <v>-374712159.32366699</v>
      </c>
      <c r="BO88" s="20">
        <f t="shared" si="169"/>
        <v>-369969606.21398282</v>
      </c>
      <c r="BP88" s="20">
        <f t="shared" si="170"/>
        <v>-365880104.43899691</v>
      </c>
      <c r="BQ88" s="20">
        <f t="shared" si="171"/>
        <v>-362229711.90475851</v>
      </c>
      <c r="BR88" s="18">
        <f t="shared" si="172"/>
        <v>-358800000</v>
      </c>
      <c r="BT88" s="52"/>
      <c r="BU88" s="22">
        <v>5.3333333333333337E-2</v>
      </c>
      <c r="BV88" s="18">
        <f t="shared" si="173"/>
        <v>0.40647187995029982</v>
      </c>
      <c r="BW88" s="20">
        <f t="shared" si="174"/>
        <v>0.40647187995029982</v>
      </c>
      <c r="BX88" s="20">
        <f t="shared" si="175"/>
        <v>0.40647187995029982</v>
      </c>
      <c r="BY88" s="20">
        <f t="shared" si="176"/>
        <v>0.40647187995029982</v>
      </c>
      <c r="BZ88" s="20">
        <f t="shared" si="177"/>
        <v>0.40647187995029982</v>
      </c>
      <c r="CA88" s="20">
        <f t="shared" si="178"/>
        <v>0.40647187995029982</v>
      </c>
      <c r="CB88" s="20">
        <f t="shared" si="179"/>
        <v>0.40647187995029982</v>
      </c>
      <c r="CC88" s="20">
        <f t="shared" si="180"/>
        <v>0.40647187995029982</v>
      </c>
      <c r="CD88" s="20">
        <f t="shared" si="181"/>
        <v>0.40647187995029982</v>
      </c>
      <c r="CE88" s="20">
        <f t="shared" si="182"/>
        <v>0.40647187995029982</v>
      </c>
      <c r="CF88" s="20">
        <f t="shared" si="183"/>
        <v>0.40647187995029982</v>
      </c>
      <c r="CG88" s="20">
        <f t="shared" si="184"/>
        <v>0.40647187995029982</v>
      </c>
      <c r="CH88" s="20">
        <f t="shared" si="185"/>
        <v>0.40647187995029982</v>
      </c>
      <c r="CI88" s="20">
        <f t="shared" si="186"/>
        <v>0.40647187995029982</v>
      </c>
      <c r="CJ88" s="20">
        <f t="shared" si="187"/>
        <v>0.40647187995029982</v>
      </c>
      <c r="CK88" s="20">
        <f t="shared" si="188"/>
        <v>0.40647187995029982</v>
      </c>
      <c r="CL88" s="20">
        <f t="shared" si="189"/>
        <v>0.40647187995029982</v>
      </c>
      <c r="CM88" s="20">
        <f t="shared" si="190"/>
        <v>0.40647187995029982</v>
      </c>
      <c r="CN88" s="20">
        <f t="shared" si="191"/>
        <v>0.40647187995029982</v>
      </c>
      <c r="CO88" s="20">
        <f t="shared" si="192"/>
        <v>0.40647187995029982</v>
      </c>
      <c r="CP88" s="20">
        <f t="shared" si="193"/>
        <v>0.40647187995029982</v>
      </c>
      <c r="CQ88" s="20">
        <f t="shared" si="194"/>
        <v>0.40647187995029982</v>
      </c>
      <c r="CR88" s="20">
        <f t="shared" si="195"/>
        <v>0.40647187995029982</v>
      </c>
      <c r="CS88" s="20">
        <f t="shared" si="196"/>
        <v>0.40647187995029982</v>
      </c>
      <c r="CT88" s="20">
        <f t="shared" si="197"/>
        <v>0.40647187995029982</v>
      </c>
      <c r="CU88" s="20">
        <f t="shared" si="198"/>
        <v>0.40647187995029982</v>
      </c>
      <c r="CV88" s="20">
        <f t="shared" si="199"/>
        <v>0.40647187995029982</v>
      </c>
      <c r="CW88" s="20">
        <f t="shared" si="200"/>
        <v>0.40647187995029982</v>
      </c>
      <c r="CX88" s="20">
        <f t="shared" si="201"/>
        <v>0.40647187995029982</v>
      </c>
      <c r="CY88" s="20">
        <f t="shared" si="202"/>
        <v>0.40647187995029982</v>
      </c>
      <c r="CZ88" s="18">
        <f t="shared" si="203"/>
        <v>0.40647187995029982</v>
      </c>
      <c r="DB88" s="52"/>
      <c r="DC88" s="22">
        <v>5.3333333333333337E-2</v>
      </c>
      <c r="DD88" s="18">
        <f t="shared" si="204"/>
        <v>178.05843601491006</v>
      </c>
      <c r="DE88" s="20">
        <f t="shared" si="205"/>
        <v>170.6733531262</v>
      </c>
      <c r="DF88" s="20">
        <f t="shared" si="206"/>
        <v>163.32646749084375</v>
      </c>
      <c r="DG88" s="20">
        <f t="shared" si="207"/>
        <v>156.05552987561421</v>
      </c>
      <c r="DH88" s="20">
        <f t="shared" si="208"/>
        <v>148.89740420442774</v>
      </c>
      <c r="DI88" s="20">
        <f t="shared" si="209"/>
        <v>141.88763933989563</v>
      </c>
      <c r="DJ88" s="20">
        <f t="shared" si="210"/>
        <v>135.06005876857515</v>
      </c>
      <c r="DK88" s="20">
        <f t="shared" si="211"/>
        <v>128.44637360295758</v>
      </c>
      <c r="DL88" s="20">
        <f t="shared" si="212"/>
        <v>122.07582386030278</v>
      </c>
      <c r="DM88" s="20">
        <f t="shared" si="213"/>
        <v>115.97485243944938</v>
      </c>
      <c r="DN88" s="20">
        <f t="shared" si="214"/>
        <v>110.16681560809546</v>
      </c>
      <c r="DO88" s="20">
        <f t="shared" si="215"/>
        <v>104.67173315281129</v>
      </c>
      <c r="DP88" s="20">
        <f t="shared" si="216"/>
        <v>99.506080651206076</v>
      </c>
      <c r="DQ88" s="20">
        <f t="shared" si="217"/>
        <v>94.682625619380545</v>
      </c>
      <c r="DR88" s="20">
        <f t="shared" si="218"/>
        <v>90.210308586635122</v>
      </c>
      <c r="DS88" s="20">
        <f t="shared" si="219"/>
        <v>86.094169470694553</v>
      </c>
      <c r="DT88" s="20">
        <f t="shared" si="220"/>
        <v>82.335318985882409</v>
      </c>
      <c r="DU88" s="20">
        <f t="shared" si="221"/>
        <v>78.930954226802754</v>
      </c>
      <c r="DV88" s="20">
        <f t="shared" si="222"/>
        <v>75.874417041450556</v>
      </c>
      <c r="DW88" s="20">
        <f t="shared" si="223"/>
        <v>73.155293347576048</v>
      </c>
      <c r="DX88" s="20">
        <f t="shared" si="224"/>
        <v>70.759551158755357</v>
      </c>
      <c r="DY88" s="20">
        <f t="shared" si="225"/>
        <v>68.66971477309437</v>
      </c>
      <c r="DZ88" s="20">
        <f t="shared" si="226"/>
        <v>66.86507233603146</v>
      </c>
      <c r="EA88" s="20">
        <f t="shared" si="227"/>
        <v>65.32191381491586</v>
      </c>
      <c r="EB88" s="20">
        <f t="shared" si="228"/>
        <v>64.013796310293486</v>
      </c>
      <c r="EC88" s="20">
        <f t="shared" si="229"/>
        <v>62.911833568732952</v>
      </c>
      <c r="ED88" s="20">
        <f t="shared" si="230"/>
        <v>61.985006544910767</v>
      </c>
      <c r="EE88" s="20">
        <f t="shared" si="231"/>
        <v>61.200491876174226</v>
      </c>
      <c r="EF88" s="20">
        <f t="shared" si="232"/>
        <v>60.524005170363942</v>
      </c>
      <c r="EG88" s="20">
        <f t="shared" si="233"/>
        <v>59.92015605712816</v>
      </c>
      <c r="EH88" s="18">
        <f t="shared" si="234"/>
        <v>59.352812004970019</v>
      </c>
    </row>
    <row r="89" spans="5:138" x14ac:dyDescent="0.3">
      <c r="E89" s="54"/>
      <c r="F89" s="22">
        <v>0.05</v>
      </c>
      <c r="G89" s="31">
        <f t="shared" si="139"/>
        <v>300</v>
      </c>
      <c r="H89" s="32">
        <f t="shared" si="235"/>
        <v>287.55731592280466</v>
      </c>
      <c r="I89" s="32">
        <f t="shared" si="236"/>
        <v>275.1789881112411</v>
      </c>
      <c r="J89" s="32">
        <f t="shared" si="237"/>
        <v>262.92862057242814</v>
      </c>
      <c r="K89" s="32">
        <f t="shared" si="238"/>
        <v>250.86832312504339</v>
      </c>
      <c r="L89" s="32">
        <f t="shared" si="239"/>
        <v>239.05798991969311</v>
      </c>
      <c r="M89" s="32">
        <f t="shared" si="240"/>
        <v>227.55460812415367</v>
      </c>
      <c r="N89" s="32">
        <f t="shared" si="241"/>
        <v>216.41160589358748</v>
      </c>
      <c r="O89" s="32">
        <f t="shared" si="242"/>
        <v>205.67824798272494</v>
      </c>
      <c r="P89" s="32">
        <f t="shared" si="243"/>
        <v>195.39908644890829</v>
      </c>
      <c r="Q89" s="32">
        <f t="shared" si="244"/>
        <v>185.61347286944118</v>
      </c>
      <c r="R89" s="32">
        <f t="shared" si="245"/>
        <v>176.35513738430186</v>
      </c>
      <c r="S89" s="32">
        <f t="shared" si="246"/>
        <v>167.65183870795161</v>
      </c>
      <c r="T89" s="32">
        <f t="shared" si="247"/>
        <v>159.52508806398612</v>
      </c>
      <c r="U89" s="32">
        <f t="shared" si="248"/>
        <v>151.98994881503035</v>
      </c>
      <c r="V89" s="32">
        <f t="shared" si="249"/>
        <v>145.05491241676182</v>
      </c>
      <c r="W89" s="32">
        <f t="shared" si="250"/>
        <v>138.72185024525527</v>
      </c>
      <c r="X89" s="32">
        <f t="shared" si="251"/>
        <v>132.98603985299519</v>
      </c>
      <c r="Y89" s="32">
        <f t="shared" si="252"/>
        <v>127.83626331823515</v>
      </c>
      <c r="Z89" s="32">
        <f t="shared" si="253"/>
        <v>123.25497457719484</v>
      </c>
      <c r="AA89" s="32">
        <f t="shared" si="254"/>
        <v>119.21853197592421</v>
      </c>
      <c r="AB89" s="32">
        <f t="shared" si="255"/>
        <v>115.69749175042318</v>
      </c>
      <c r="AC89" s="32">
        <f t="shared" si="256"/>
        <v>112.6569577367832</v>
      </c>
      <c r="AD89" s="32">
        <f t="shared" si="257"/>
        <v>110.05698232030861</v>
      </c>
      <c r="AE89" s="32">
        <f t="shared" si="258"/>
        <v>107.85301344262034</v>
      </c>
      <c r="AF89" s="32">
        <f t="shared" si="259"/>
        <v>105.99638238448568</v>
      </c>
      <c r="AG89" s="32">
        <f t="shared" si="260"/>
        <v>104.43482701328513</v>
      </c>
      <c r="AH89" s="32">
        <f t="shared" si="261"/>
        <v>103.11304521014016</v>
      </c>
      <c r="AI89" s="32">
        <f t="shared" si="262"/>
        <v>101.97327325501587</v>
      </c>
      <c r="AJ89" s="32">
        <f t="shared" si="263"/>
        <v>100.95588403142656</v>
      </c>
      <c r="AK89" s="31">
        <f t="shared" si="141"/>
        <v>100</v>
      </c>
      <c r="AL89" s="55"/>
      <c r="AM89" s="22">
        <v>0.05</v>
      </c>
      <c r="AN89" s="18">
        <f t="shared" si="142"/>
        <v>-1076400000</v>
      </c>
      <c r="AO89" s="20">
        <f t="shared" si="143"/>
        <v>-1031755649.5310231</v>
      </c>
      <c r="AP89" s="20">
        <f t="shared" si="144"/>
        <v>-987342209.34313309</v>
      </c>
      <c r="AQ89" s="20">
        <f t="shared" si="145"/>
        <v>-943387890.61387217</v>
      </c>
      <c r="AR89" s="20">
        <f t="shared" si="146"/>
        <v>-900115543.37265563</v>
      </c>
      <c r="AS89" s="20">
        <f t="shared" si="147"/>
        <v>-857740067.83185887</v>
      </c>
      <c r="AT89" s="20">
        <f t="shared" si="148"/>
        <v>-816465933.94946325</v>
      </c>
      <c r="AU89" s="20">
        <f t="shared" si="149"/>
        <v>-776484841.94619179</v>
      </c>
      <c r="AV89" s="20">
        <f t="shared" si="150"/>
        <v>-737973553.76201701</v>
      </c>
      <c r="AW89" s="20">
        <f t="shared" si="151"/>
        <v>-701091922.1786828</v>
      </c>
      <c r="AX89" s="20">
        <f t="shared" si="152"/>
        <v>-665981140.65555501</v>
      </c>
      <c r="AY89" s="20">
        <f t="shared" si="153"/>
        <v>-632762232.93487501</v>
      </c>
      <c r="AZ89" s="20">
        <f t="shared" si="154"/>
        <v>-601534797.28413045</v>
      </c>
      <c r="BA89" s="20">
        <f t="shared" si="155"/>
        <v>-572376015.97358215</v>
      </c>
      <c r="BB89" s="20">
        <f t="shared" si="156"/>
        <v>-545339936.34832883</v>
      </c>
      <c r="BC89" s="20">
        <f t="shared" si="157"/>
        <v>-520457025.7513414</v>
      </c>
      <c r="BD89" s="20">
        <f t="shared" si="158"/>
        <v>-497733998.67997593</v>
      </c>
      <c r="BE89" s="20">
        <f t="shared" si="159"/>
        <v>-477153910.99254674</v>
      </c>
      <c r="BF89" s="20">
        <f t="shared" si="160"/>
        <v>-458676512.7858277</v>
      </c>
      <c r="BG89" s="20">
        <f t="shared" si="161"/>
        <v>-442238848.78297508</v>
      </c>
      <c r="BH89" s="20">
        <f t="shared" si="162"/>
        <v>-427756092.72961593</v>
      </c>
      <c r="BI89" s="20">
        <f t="shared" si="163"/>
        <v>-415122600.40051836</v>
      </c>
      <c r="BJ89" s="20">
        <f t="shared" si="164"/>
        <v>-404213164.35957813</v>
      </c>
      <c r="BK89" s="20">
        <f t="shared" si="165"/>
        <v>-394884452.56526721</v>
      </c>
      <c r="BL89" s="20">
        <f t="shared" si="166"/>
        <v>-386976612.23212171</v>
      </c>
      <c r="BM89" s="20">
        <f t="shared" si="167"/>
        <v>-380315019.99553466</v>
      </c>
      <c r="BN89" s="20">
        <f t="shared" si="168"/>
        <v>-374712159.32366699</v>
      </c>
      <c r="BO89" s="20">
        <f t="shared" si="169"/>
        <v>-369969606.21398282</v>
      </c>
      <c r="BP89" s="20">
        <f t="shared" si="170"/>
        <v>-365880104.43899691</v>
      </c>
      <c r="BQ89" s="20">
        <f t="shared" si="171"/>
        <v>-362229711.90475851</v>
      </c>
      <c r="BR89" s="18">
        <f t="shared" si="172"/>
        <v>-358800000</v>
      </c>
      <c r="BT89" s="52"/>
      <c r="BU89" s="22">
        <v>0.05</v>
      </c>
      <c r="BV89" s="18">
        <f t="shared" si="173"/>
        <v>0.40647187995160011</v>
      </c>
      <c r="BW89" s="20">
        <f t="shared" si="174"/>
        <v>0.40647187995160011</v>
      </c>
      <c r="BX89" s="20">
        <f t="shared" si="175"/>
        <v>0.40647187995160011</v>
      </c>
      <c r="BY89" s="20">
        <f t="shared" si="176"/>
        <v>0.40647187995160011</v>
      </c>
      <c r="BZ89" s="20">
        <f t="shared" si="177"/>
        <v>0.40647187995160011</v>
      </c>
      <c r="CA89" s="20">
        <f t="shared" si="178"/>
        <v>0.40647187995160011</v>
      </c>
      <c r="CB89" s="20">
        <f t="shared" si="179"/>
        <v>0.40647187995160011</v>
      </c>
      <c r="CC89" s="20">
        <f t="shared" si="180"/>
        <v>0.40647187995160011</v>
      </c>
      <c r="CD89" s="20">
        <f t="shared" si="181"/>
        <v>0.40647187995160011</v>
      </c>
      <c r="CE89" s="20">
        <f t="shared" si="182"/>
        <v>0.40647187995160011</v>
      </c>
      <c r="CF89" s="20">
        <f t="shared" si="183"/>
        <v>0.40647187995160011</v>
      </c>
      <c r="CG89" s="20">
        <f t="shared" si="184"/>
        <v>0.40647187995160011</v>
      </c>
      <c r="CH89" s="20">
        <f t="shared" si="185"/>
        <v>0.40647187995160011</v>
      </c>
      <c r="CI89" s="20">
        <f t="shared" si="186"/>
        <v>0.40647187995160011</v>
      </c>
      <c r="CJ89" s="20">
        <f t="shared" si="187"/>
        <v>0.40647187995160011</v>
      </c>
      <c r="CK89" s="20">
        <f t="shared" si="188"/>
        <v>0.40647187995160011</v>
      </c>
      <c r="CL89" s="20">
        <f t="shared" si="189"/>
        <v>0.40647187995160011</v>
      </c>
      <c r="CM89" s="20">
        <f t="shared" si="190"/>
        <v>0.40647187995160011</v>
      </c>
      <c r="CN89" s="20">
        <f t="shared" si="191"/>
        <v>0.40647187995160011</v>
      </c>
      <c r="CO89" s="20">
        <f t="shared" si="192"/>
        <v>0.40647187995160011</v>
      </c>
      <c r="CP89" s="20">
        <f t="shared" si="193"/>
        <v>0.40647187995160011</v>
      </c>
      <c r="CQ89" s="20">
        <f t="shared" si="194"/>
        <v>0.40647187995160011</v>
      </c>
      <c r="CR89" s="20">
        <f t="shared" si="195"/>
        <v>0.40647187995160011</v>
      </c>
      <c r="CS89" s="20">
        <f t="shared" si="196"/>
        <v>0.40647187995160011</v>
      </c>
      <c r="CT89" s="20">
        <f t="shared" si="197"/>
        <v>0.40647187995160011</v>
      </c>
      <c r="CU89" s="20">
        <f t="shared" si="198"/>
        <v>0.40647187995160011</v>
      </c>
      <c r="CV89" s="20">
        <f t="shared" si="199"/>
        <v>0.40647187995160011</v>
      </c>
      <c r="CW89" s="20">
        <f t="shared" si="200"/>
        <v>0.40647187995160011</v>
      </c>
      <c r="CX89" s="20">
        <f t="shared" si="201"/>
        <v>0.40647187995160011</v>
      </c>
      <c r="CY89" s="20">
        <f t="shared" si="202"/>
        <v>0.40647187995160011</v>
      </c>
      <c r="CZ89" s="18">
        <f t="shared" si="203"/>
        <v>0.40647187995160011</v>
      </c>
      <c r="DB89" s="52"/>
      <c r="DC89" s="22">
        <v>0.05</v>
      </c>
      <c r="DD89" s="18">
        <f t="shared" si="204"/>
        <v>178.05843601451994</v>
      </c>
      <c r="DE89" s="20">
        <f t="shared" si="205"/>
        <v>170.67335312582605</v>
      </c>
      <c r="DF89" s="20">
        <f t="shared" si="206"/>
        <v>163.32646749048592</v>
      </c>
      <c r="DG89" s="20">
        <f t="shared" si="207"/>
        <v>156.05552987527233</v>
      </c>
      <c r="DH89" s="20">
        <f t="shared" si="208"/>
        <v>148.89740420410152</v>
      </c>
      <c r="DI89" s="20">
        <f t="shared" si="209"/>
        <v>141.88763933958478</v>
      </c>
      <c r="DJ89" s="20">
        <f t="shared" si="210"/>
        <v>135.06005876827928</v>
      </c>
      <c r="DK89" s="20">
        <f t="shared" si="211"/>
        <v>128.4463736026762</v>
      </c>
      <c r="DL89" s="20">
        <f t="shared" si="212"/>
        <v>122.07582386003533</v>
      </c>
      <c r="DM89" s="20">
        <f t="shared" si="213"/>
        <v>115.9748524391953</v>
      </c>
      <c r="DN89" s="20">
        <f t="shared" si="214"/>
        <v>110.16681560785412</v>
      </c>
      <c r="DO89" s="20">
        <f t="shared" si="215"/>
        <v>104.67173315258196</v>
      </c>
      <c r="DP89" s="20">
        <f t="shared" si="216"/>
        <v>99.506080650988096</v>
      </c>
      <c r="DQ89" s="20">
        <f t="shared" si="217"/>
        <v>94.682625619173109</v>
      </c>
      <c r="DR89" s="20">
        <f t="shared" si="218"/>
        <v>90.210308586437478</v>
      </c>
      <c r="DS89" s="20">
        <f t="shared" si="219"/>
        <v>86.094169470505946</v>
      </c>
      <c r="DT89" s="20">
        <f t="shared" si="220"/>
        <v>82.335318985702031</v>
      </c>
      <c r="DU89" s="20">
        <f t="shared" si="221"/>
        <v>78.930954226629837</v>
      </c>
      <c r="DV89" s="20">
        <f t="shared" si="222"/>
        <v>75.874417041284332</v>
      </c>
      <c r="DW89" s="20">
        <f t="shared" si="223"/>
        <v>73.155293347415778</v>
      </c>
      <c r="DX89" s="20">
        <f t="shared" si="224"/>
        <v>70.759551158600345</v>
      </c>
      <c r="DY89" s="20">
        <f t="shared" si="225"/>
        <v>68.669714772943934</v>
      </c>
      <c r="DZ89" s="20">
        <f t="shared" si="226"/>
        <v>66.865072335884975</v>
      </c>
      <c r="EA89" s="20">
        <f t="shared" si="227"/>
        <v>65.321913814772756</v>
      </c>
      <c r="EB89" s="20">
        <f t="shared" si="228"/>
        <v>64.013796310153253</v>
      </c>
      <c r="EC89" s="20">
        <f t="shared" si="229"/>
        <v>62.911833568595121</v>
      </c>
      <c r="ED89" s="20">
        <f t="shared" si="230"/>
        <v>61.985006544774969</v>
      </c>
      <c r="EE89" s="20">
        <f t="shared" si="231"/>
        <v>61.200491876040154</v>
      </c>
      <c r="EF89" s="20">
        <f t="shared" si="232"/>
        <v>60.524005170231348</v>
      </c>
      <c r="EG89" s="20">
        <f t="shared" si="233"/>
        <v>59.920156056996881</v>
      </c>
      <c r="EH89" s="18">
        <f t="shared" si="234"/>
        <v>59.352812004839983</v>
      </c>
    </row>
    <row r="90" spans="5:138" x14ac:dyDescent="0.3">
      <c r="E90" s="54"/>
      <c r="F90" s="22">
        <v>4.6666666666666669E-2</v>
      </c>
      <c r="G90" s="31">
        <f t="shared" si="139"/>
        <v>300</v>
      </c>
      <c r="H90" s="32">
        <f t="shared" si="235"/>
        <v>287.55731592280466</v>
      </c>
      <c r="I90" s="32">
        <f t="shared" si="236"/>
        <v>275.17898811124115</v>
      </c>
      <c r="J90" s="32">
        <f t="shared" si="237"/>
        <v>262.92862057242814</v>
      </c>
      <c r="K90" s="32">
        <f t="shared" si="238"/>
        <v>250.86832312504339</v>
      </c>
      <c r="L90" s="32">
        <f t="shared" si="239"/>
        <v>239.05798991969317</v>
      </c>
      <c r="M90" s="32">
        <f t="shared" si="240"/>
        <v>227.5546081241537</v>
      </c>
      <c r="N90" s="32">
        <f t="shared" si="241"/>
        <v>216.41160589358753</v>
      </c>
      <c r="O90" s="32">
        <f t="shared" si="242"/>
        <v>205.67824798272494</v>
      </c>
      <c r="P90" s="32">
        <f t="shared" si="243"/>
        <v>195.39908644890835</v>
      </c>
      <c r="Q90" s="32">
        <f t="shared" si="244"/>
        <v>185.61347286944124</v>
      </c>
      <c r="R90" s="32">
        <f t="shared" si="245"/>
        <v>176.35513738430191</v>
      </c>
      <c r="S90" s="32">
        <f t="shared" si="246"/>
        <v>167.6518387079517</v>
      </c>
      <c r="T90" s="32">
        <f t="shared" si="247"/>
        <v>159.52508806398612</v>
      </c>
      <c r="U90" s="32">
        <f t="shared" si="248"/>
        <v>151.98994881503035</v>
      </c>
      <c r="V90" s="32">
        <f t="shared" si="249"/>
        <v>145.05491241676185</v>
      </c>
      <c r="W90" s="32">
        <f t="shared" si="250"/>
        <v>138.72185024525533</v>
      </c>
      <c r="X90" s="32">
        <f t="shared" si="251"/>
        <v>132.98603985299525</v>
      </c>
      <c r="Y90" s="32">
        <f t="shared" si="252"/>
        <v>127.83626331823518</v>
      </c>
      <c r="Z90" s="32">
        <f t="shared" si="253"/>
        <v>123.25497457719487</v>
      </c>
      <c r="AA90" s="32">
        <f t="shared" si="254"/>
        <v>119.21853197592424</v>
      </c>
      <c r="AB90" s="32">
        <f t="shared" si="255"/>
        <v>115.69749175042321</v>
      </c>
      <c r="AC90" s="32">
        <f t="shared" si="256"/>
        <v>112.65695773678321</v>
      </c>
      <c r="AD90" s="32">
        <f t="shared" si="257"/>
        <v>110.05698232030863</v>
      </c>
      <c r="AE90" s="32">
        <f t="shared" si="258"/>
        <v>107.85301344262035</v>
      </c>
      <c r="AF90" s="32">
        <f t="shared" si="259"/>
        <v>105.99638238448571</v>
      </c>
      <c r="AG90" s="32">
        <f t="shared" si="260"/>
        <v>104.43482701328516</v>
      </c>
      <c r="AH90" s="32">
        <f t="shared" si="261"/>
        <v>103.11304521014019</v>
      </c>
      <c r="AI90" s="32">
        <f t="shared" si="262"/>
        <v>101.97327325501588</v>
      </c>
      <c r="AJ90" s="32">
        <f t="shared" si="263"/>
        <v>100.95588403142659</v>
      </c>
      <c r="AK90" s="31">
        <f t="shared" si="141"/>
        <v>100</v>
      </c>
      <c r="AL90" s="55"/>
      <c r="AM90" s="22">
        <v>4.6666666666666669E-2</v>
      </c>
      <c r="AN90" s="18">
        <f t="shared" si="142"/>
        <v>-1076400000</v>
      </c>
      <c r="AO90" s="20">
        <f t="shared" si="143"/>
        <v>-1031755649.5310231</v>
      </c>
      <c r="AP90" s="20">
        <f t="shared" si="144"/>
        <v>-987342209.34313321</v>
      </c>
      <c r="AQ90" s="20">
        <f t="shared" si="145"/>
        <v>-943387890.61387217</v>
      </c>
      <c r="AR90" s="20">
        <f t="shared" si="146"/>
        <v>-900115543.37265563</v>
      </c>
      <c r="AS90" s="20">
        <f t="shared" si="147"/>
        <v>-857740067.83185887</v>
      </c>
      <c r="AT90" s="20">
        <f t="shared" si="148"/>
        <v>-816465933.94946337</v>
      </c>
      <c r="AU90" s="20">
        <f t="shared" si="149"/>
        <v>-776484841.94619203</v>
      </c>
      <c r="AV90" s="20">
        <f t="shared" si="150"/>
        <v>-737973553.76201713</v>
      </c>
      <c r="AW90" s="20">
        <f t="shared" si="151"/>
        <v>-701091922.17868304</v>
      </c>
      <c r="AX90" s="20">
        <f t="shared" si="152"/>
        <v>-665981140.65555513</v>
      </c>
      <c r="AY90" s="20">
        <f t="shared" si="153"/>
        <v>-632762232.93487525</v>
      </c>
      <c r="AZ90" s="20">
        <f t="shared" si="154"/>
        <v>-601534797.28413069</v>
      </c>
      <c r="BA90" s="20">
        <f t="shared" si="155"/>
        <v>-572376015.97358215</v>
      </c>
      <c r="BB90" s="20">
        <f t="shared" si="156"/>
        <v>-545339936.34832883</v>
      </c>
      <c r="BC90" s="20">
        <f t="shared" si="157"/>
        <v>-520457025.75134152</v>
      </c>
      <c r="BD90" s="20">
        <f t="shared" si="158"/>
        <v>-497733998.67997611</v>
      </c>
      <c r="BE90" s="20">
        <f t="shared" si="159"/>
        <v>-477153910.99254698</v>
      </c>
      <c r="BF90" s="20">
        <f t="shared" si="160"/>
        <v>-458676512.78582782</v>
      </c>
      <c r="BG90" s="20">
        <f t="shared" si="161"/>
        <v>-442238848.7829752</v>
      </c>
      <c r="BH90" s="20">
        <f t="shared" si="162"/>
        <v>-427756092.72961617</v>
      </c>
      <c r="BI90" s="20">
        <f t="shared" si="163"/>
        <v>-415122600.40051842</v>
      </c>
      <c r="BJ90" s="20">
        <f t="shared" si="164"/>
        <v>-404213164.35957819</v>
      </c>
      <c r="BK90" s="20">
        <f t="shared" si="165"/>
        <v>-394884452.56526726</v>
      </c>
      <c r="BL90" s="20">
        <f t="shared" si="166"/>
        <v>-386976612.23212183</v>
      </c>
      <c r="BM90" s="20">
        <f t="shared" si="167"/>
        <v>-380315019.99553472</v>
      </c>
      <c r="BN90" s="20">
        <f t="shared" si="168"/>
        <v>-374712159.32366711</v>
      </c>
      <c r="BO90" s="20">
        <f t="shared" si="169"/>
        <v>-369969606.21398294</v>
      </c>
      <c r="BP90" s="20">
        <f t="shared" si="170"/>
        <v>-365880104.43899703</v>
      </c>
      <c r="BQ90" s="20">
        <f t="shared" si="171"/>
        <v>-362229711.90475857</v>
      </c>
      <c r="BR90" s="18">
        <f t="shared" si="172"/>
        <v>-358800000</v>
      </c>
      <c r="BT90" s="52"/>
      <c r="BU90" s="22">
        <v>4.6666666666666669E-2</v>
      </c>
      <c r="BV90" s="18">
        <f t="shared" si="173"/>
        <v>0.40647187995947059</v>
      </c>
      <c r="BW90" s="20">
        <f t="shared" si="174"/>
        <v>0.40647187995947059</v>
      </c>
      <c r="BX90" s="20">
        <f t="shared" si="175"/>
        <v>0.40647187995947059</v>
      </c>
      <c r="BY90" s="20">
        <f t="shared" si="176"/>
        <v>0.40647187995947059</v>
      </c>
      <c r="BZ90" s="20">
        <f t="shared" si="177"/>
        <v>0.40647187995947059</v>
      </c>
      <c r="CA90" s="20">
        <f t="shared" si="178"/>
        <v>0.40647187995947059</v>
      </c>
      <c r="CB90" s="20">
        <f t="shared" si="179"/>
        <v>0.40647187995947059</v>
      </c>
      <c r="CC90" s="20">
        <f t="shared" si="180"/>
        <v>0.40647187995947059</v>
      </c>
      <c r="CD90" s="20">
        <f t="shared" si="181"/>
        <v>0.40647187995947059</v>
      </c>
      <c r="CE90" s="20">
        <f t="shared" si="182"/>
        <v>0.40647187995947059</v>
      </c>
      <c r="CF90" s="20">
        <f t="shared" si="183"/>
        <v>0.40647187995947059</v>
      </c>
      <c r="CG90" s="20">
        <f t="shared" si="184"/>
        <v>0.40647187995947059</v>
      </c>
      <c r="CH90" s="20">
        <f t="shared" si="185"/>
        <v>0.40647187995947059</v>
      </c>
      <c r="CI90" s="20">
        <f t="shared" si="186"/>
        <v>0.40647187995947059</v>
      </c>
      <c r="CJ90" s="20">
        <f t="shared" si="187"/>
        <v>0.40647187995947059</v>
      </c>
      <c r="CK90" s="20">
        <f t="shared" si="188"/>
        <v>0.40647187995947059</v>
      </c>
      <c r="CL90" s="20">
        <f t="shared" si="189"/>
        <v>0.40647187995947059</v>
      </c>
      <c r="CM90" s="20">
        <f t="shared" si="190"/>
        <v>0.40647187995947059</v>
      </c>
      <c r="CN90" s="20">
        <f t="shared" si="191"/>
        <v>0.40647187995947059</v>
      </c>
      <c r="CO90" s="20">
        <f t="shared" si="192"/>
        <v>0.40647187995947059</v>
      </c>
      <c r="CP90" s="20">
        <f t="shared" si="193"/>
        <v>0.40647187995947059</v>
      </c>
      <c r="CQ90" s="20">
        <f t="shared" si="194"/>
        <v>0.40647187995947059</v>
      </c>
      <c r="CR90" s="20">
        <f t="shared" si="195"/>
        <v>0.40647187995947059</v>
      </c>
      <c r="CS90" s="20">
        <f t="shared" si="196"/>
        <v>0.40647187995947059</v>
      </c>
      <c r="CT90" s="20">
        <f t="shared" si="197"/>
        <v>0.40647187995947059</v>
      </c>
      <c r="CU90" s="20">
        <f t="shared" si="198"/>
        <v>0.40647187995947059</v>
      </c>
      <c r="CV90" s="20">
        <f t="shared" si="199"/>
        <v>0.40647187995947059</v>
      </c>
      <c r="CW90" s="20">
        <f t="shared" si="200"/>
        <v>0.40647187995947059</v>
      </c>
      <c r="CX90" s="20">
        <f t="shared" si="201"/>
        <v>0.40647187995947059</v>
      </c>
      <c r="CY90" s="20">
        <f t="shared" si="202"/>
        <v>0.40647187995947059</v>
      </c>
      <c r="CZ90" s="18">
        <f t="shared" si="203"/>
        <v>0.40647187995947059</v>
      </c>
      <c r="DB90" s="52"/>
      <c r="DC90" s="22">
        <v>4.6666666666666669E-2</v>
      </c>
      <c r="DD90" s="18">
        <f t="shared" si="204"/>
        <v>178.05843601215884</v>
      </c>
      <c r="DE90" s="20">
        <f t="shared" si="205"/>
        <v>170.67335312356286</v>
      </c>
      <c r="DF90" s="20">
        <f t="shared" si="206"/>
        <v>163.32646748832016</v>
      </c>
      <c r="DG90" s="20">
        <f t="shared" si="207"/>
        <v>156.05552987320297</v>
      </c>
      <c r="DH90" s="20">
        <f t="shared" si="208"/>
        <v>148.89740420212709</v>
      </c>
      <c r="DI90" s="20">
        <f t="shared" si="209"/>
        <v>141.88763933770332</v>
      </c>
      <c r="DJ90" s="20">
        <f t="shared" si="210"/>
        <v>135.06005876648834</v>
      </c>
      <c r="DK90" s="20">
        <f t="shared" si="211"/>
        <v>128.44637360097298</v>
      </c>
      <c r="DL90" s="20">
        <f t="shared" si="212"/>
        <v>122.07582385841656</v>
      </c>
      <c r="DM90" s="20">
        <f t="shared" si="213"/>
        <v>115.97485243765746</v>
      </c>
      <c r="DN90" s="20">
        <f t="shared" si="214"/>
        <v>110.1668156063933</v>
      </c>
      <c r="DO90" s="20">
        <f t="shared" si="215"/>
        <v>104.67173315119402</v>
      </c>
      <c r="DP90" s="20">
        <f t="shared" si="216"/>
        <v>99.506080649668647</v>
      </c>
      <c r="DQ90" s="20">
        <f t="shared" si="217"/>
        <v>94.682625617917594</v>
      </c>
      <c r="DR90" s="20">
        <f t="shared" si="218"/>
        <v>90.210308585241265</v>
      </c>
      <c r="DS90" s="20">
        <f t="shared" si="219"/>
        <v>86.094169469364331</v>
      </c>
      <c r="DT90" s="20">
        <f t="shared" si="220"/>
        <v>82.335318984610268</v>
      </c>
      <c r="DU90" s="20">
        <f t="shared" si="221"/>
        <v>78.930954225583207</v>
      </c>
      <c r="DV90" s="20">
        <f t="shared" si="222"/>
        <v>75.874417040278232</v>
      </c>
      <c r="DW90" s="20">
        <f t="shared" si="223"/>
        <v>73.155293346445731</v>
      </c>
      <c r="DX90" s="20">
        <f t="shared" si="224"/>
        <v>70.759551157662074</v>
      </c>
      <c r="DY90" s="20">
        <f t="shared" si="225"/>
        <v>68.669714772033359</v>
      </c>
      <c r="DZ90" s="20">
        <f t="shared" si="226"/>
        <v>66.865072334998317</v>
      </c>
      <c r="EA90" s="20">
        <f t="shared" si="227"/>
        <v>65.321913813906576</v>
      </c>
      <c r="EB90" s="20">
        <f t="shared" si="228"/>
        <v>64.013796309304411</v>
      </c>
      <c r="EC90" s="20">
        <f t="shared" si="229"/>
        <v>62.911833567760908</v>
      </c>
      <c r="ED90" s="20">
        <f t="shared" si="230"/>
        <v>61.985006543953048</v>
      </c>
      <c r="EE90" s="20">
        <f t="shared" si="231"/>
        <v>61.200491875228629</v>
      </c>
      <c r="EF90" s="20">
        <f t="shared" si="232"/>
        <v>60.524005169428783</v>
      </c>
      <c r="EG90" s="20">
        <f t="shared" si="233"/>
        <v>59.92015605620233</v>
      </c>
      <c r="EH90" s="18">
        <f t="shared" si="234"/>
        <v>59.35281200405295</v>
      </c>
    </row>
    <row r="91" spans="5:138" x14ac:dyDescent="0.3">
      <c r="E91" s="54"/>
      <c r="F91" s="22">
        <v>4.3333333333333335E-2</v>
      </c>
      <c r="G91" s="31">
        <f t="shared" si="139"/>
        <v>300</v>
      </c>
      <c r="H91" s="32">
        <f t="shared" si="235"/>
        <v>287.55731592280466</v>
      </c>
      <c r="I91" s="32">
        <f t="shared" si="236"/>
        <v>275.17898811124121</v>
      </c>
      <c r="J91" s="32">
        <f t="shared" si="237"/>
        <v>262.92862057242814</v>
      </c>
      <c r="K91" s="32">
        <f t="shared" si="238"/>
        <v>250.86832312504339</v>
      </c>
      <c r="L91" s="32">
        <f t="shared" si="239"/>
        <v>239.05798991969323</v>
      </c>
      <c r="M91" s="32">
        <f t="shared" si="240"/>
        <v>227.55460812415373</v>
      </c>
      <c r="N91" s="32">
        <f t="shared" si="241"/>
        <v>216.41160589358753</v>
      </c>
      <c r="O91" s="32">
        <f t="shared" si="242"/>
        <v>205.67824798272497</v>
      </c>
      <c r="P91" s="32">
        <f t="shared" si="243"/>
        <v>195.39908644890835</v>
      </c>
      <c r="Q91" s="32">
        <f t="shared" si="244"/>
        <v>185.61347286944127</v>
      </c>
      <c r="R91" s="32">
        <f t="shared" si="245"/>
        <v>176.35513738430194</v>
      </c>
      <c r="S91" s="32">
        <f t="shared" si="246"/>
        <v>167.65183870795173</v>
      </c>
      <c r="T91" s="32">
        <f t="shared" si="247"/>
        <v>159.52508806398617</v>
      </c>
      <c r="U91" s="32">
        <f t="shared" si="248"/>
        <v>151.9899488150304</v>
      </c>
      <c r="V91" s="32">
        <f t="shared" si="249"/>
        <v>145.05491241676188</v>
      </c>
      <c r="W91" s="32">
        <f t="shared" si="250"/>
        <v>138.72185024525535</v>
      </c>
      <c r="X91" s="32">
        <f t="shared" si="251"/>
        <v>132.98603985299528</v>
      </c>
      <c r="Y91" s="32">
        <f t="shared" si="252"/>
        <v>127.83626331823521</v>
      </c>
      <c r="Z91" s="32">
        <f t="shared" si="253"/>
        <v>123.25497457719487</v>
      </c>
      <c r="AA91" s="32">
        <f t="shared" si="254"/>
        <v>119.21853197592426</v>
      </c>
      <c r="AB91" s="32">
        <f t="shared" si="255"/>
        <v>115.69749175042323</v>
      </c>
      <c r="AC91" s="32">
        <f t="shared" si="256"/>
        <v>112.65695773678323</v>
      </c>
      <c r="AD91" s="32">
        <f t="shared" si="257"/>
        <v>110.05698232030866</v>
      </c>
      <c r="AE91" s="32">
        <f t="shared" si="258"/>
        <v>107.85301344262038</v>
      </c>
      <c r="AF91" s="32">
        <f t="shared" si="259"/>
        <v>105.99638238448574</v>
      </c>
      <c r="AG91" s="32">
        <f t="shared" si="260"/>
        <v>104.43482701328517</v>
      </c>
      <c r="AH91" s="32">
        <f t="shared" si="261"/>
        <v>103.1130452101402</v>
      </c>
      <c r="AI91" s="32">
        <f t="shared" si="262"/>
        <v>101.97327325501591</v>
      </c>
      <c r="AJ91" s="32">
        <f t="shared" si="263"/>
        <v>100.95588403142659</v>
      </c>
      <c r="AK91" s="31">
        <f t="shared" si="141"/>
        <v>100</v>
      </c>
      <c r="AL91" s="55"/>
      <c r="AM91" s="22">
        <v>4.3333333333333335E-2</v>
      </c>
      <c r="AN91" s="18">
        <f t="shared" si="142"/>
        <v>-1076400000</v>
      </c>
      <c r="AO91" s="20">
        <f t="shared" si="143"/>
        <v>-1031755649.5310231</v>
      </c>
      <c r="AP91" s="20">
        <f t="shared" si="144"/>
        <v>-987342209.34313321</v>
      </c>
      <c r="AQ91" s="20">
        <f t="shared" si="145"/>
        <v>-943387890.61387217</v>
      </c>
      <c r="AR91" s="20">
        <f t="shared" si="146"/>
        <v>-900115543.37265563</v>
      </c>
      <c r="AS91" s="20">
        <f t="shared" si="147"/>
        <v>-857740067.83185911</v>
      </c>
      <c r="AT91" s="20">
        <f t="shared" si="148"/>
        <v>-816465933.94946361</v>
      </c>
      <c r="AU91" s="20">
        <f t="shared" si="149"/>
        <v>-776484841.94619203</v>
      </c>
      <c r="AV91" s="20">
        <f t="shared" si="150"/>
        <v>-737973553.76201725</v>
      </c>
      <c r="AW91" s="20">
        <f t="shared" si="151"/>
        <v>-701091922.17868316</v>
      </c>
      <c r="AX91" s="20">
        <f t="shared" si="152"/>
        <v>-665981140.65555525</v>
      </c>
      <c r="AY91" s="20">
        <f t="shared" si="153"/>
        <v>-632762232.93487537</v>
      </c>
      <c r="AZ91" s="20">
        <f t="shared" si="154"/>
        <v>-601534797.28413081</v>
      </c>
      <c r="BA91" s="20">
        <f t="shared" si="155"/>
        <v>-572376015.97358239</v>
      </c>
      <c r="BB91" s="20">
        <f t="shared" si="156"/>
        <v>-545339936.34832907</v>
      </c>
      <c r="BC91" s="20">
        <f t="shared" si="157"/>
        <v>-520457025.75134164</v>
      </c>
      <c r="BD91" s="20">
        <f t="shared" si="158"/>
        <v>-497733998.67997622</v>
      </c>
      <c r="BE91" s="20">
        <f t="shared" si="159"/>
        <v>-477153910.99254698</v>
      </c>
      <c r="BF91" s="20">
        <f t="shared" si="160"/>
        <v>-458676512.78582793</v>
      </c>
      <c r="BG91" s="20">
        <f t="shared" si="161"/>
        <v>-442238848.7829752</v>
      </c>
      <c r="BH91" s="20">
        <f t="shared" si="162"/>
        <v>-427756092.72961617</v>
      </c>
      <c r="BI91" s="20">
        <f t="shared" si="163"/>
        <v>-415122600.40051848</v>
      </c>
      <c r="BJ91" s="20">
        <f t="shared" si="164"/>
        <v>-404213164.35957825</v>
      </c>
      <c r="BK91" s="20">
        <f t="shared" si="165"/>
        <v>-394884452.56526738</v>
      </c>
      <c r="BL91" s="20">
        <f t="shared" si="166"/>
        <v>-386976612.23212194</v>
      </c>
      <c r="BM91" s="20">
        <f t="shared" si="167"/>
        <v>-380315019.99553484</v>
      </c>
      <c r="BN91" s="20">
        <f t="shared" si="168"/>
        <v>-374712159.32366717</v>
      </c>
      <c r="BO91" s="20">
        <f t="shared" si="169"/>
        <v>-369969606.21398294</v>
      </c>
      <c r="BP91" s="20">
        <f t="shared" si="170"/>
        <v>-365880104.43899703</v>
      </c>
      <c r="BQ91" s="20">
        <f t="shared" si="171"/>
        <v>-362229711.90475857</v>
      </c>
      <c r="BR91" s="18">
        <f t="shared" si="172"/>
        <v>-358800000</v>
      </c>
      <c r="BT91" s="52"/>
      <c r="BU91" s="22">
        <v>4.3333333333333335E-2</v>
      </c>
      <c r="BV91" s="18">
        <f t="shared" si="173"/>
        <v>0.40647188000710688</v>
      </c>
      <c r="BW91" s="20">
        <f t="shared" si="174"/>
        <v>0.40647188000710688</v>
      </c>
      <c r="BX91" s="20">
        <f t="shared" si="175"/>
        <v>0.40647188000710688</v>
      </c>
      <c r="BY91" s="20">
        <f t="shared" si="176"/>
        <v>0.40647188000710688</v>
      </c>
      <c r="BZ91" s="20">
        <f t="shared" si="177"/>
        <v>0.40647188000710688</v>
      </c>
      <c r="CA91" s="20">
        <f t="shared" si="178"/>
        <v>0.40647188000710688</v>
      </c>
      <c r="CB91" s="20">
        <f t="shared" si="179"/>
        <v>0.40647188000710688</v>
      </c>
      <c r="CC91" s="20">
        <f t="shared" si="180"/>
        <v>0.40647188000710688</v>
      </c>
      <c r="CD91" s="20">
        <f t="shared" si="181"/>
        <v>0.40647188000710688</v>
      </c>
      <c r="CE91" s="20">
        <f t="shared" si="182"/>
        <v>0.40647188000710688</v>
      </c>
      <c r="CF91" s="20">
        <f t="shared" si="183"/>
        <v>0.40647188000710688</v>
      </c>
      <c r="CG91" s="20">
        <f t="shared" si="184"/>
        <v>0.40647188000710688</v>
      </c>
      <c r="CH91" s="20">
        <f t="shared" si="185"/>
        <v>0.40647188000710688</v>
      </c>
      <c r="CI91" s="20">
        <f t="shared" si="186"/>
        <v>0.40647188000710688</v>
      </c>
      <c r="CJ91" s="20">
        <f t="shared" si="187"/>
        <v>0.40647188000710688</v>
      </c>
      <c r="CK91" s="20">
        <f t="shared" si="188"/>
        <v>0.40647188000710688</v>
      </c>
      <c r="CL91" s="20">
        <f t="shared" si="189"/>
        <v>0.40647188000710688</v>
      </c>
      <c r="CM91" s="20">
        <f t="shared" si="190"/>
        <v>0.40647188000710688</v>
      </c>
      <c r="CN91" s="20">
        <f t="shared" si="191"/>
        <v>0.40647188000710688</v>
      </c>
      <c r="CO91" s="20">
        <f t="shared" si="192"/>
        <v>0.40647188000710688</v>
      </c>
      <c r="CP91" s="20">
        <f t="shared" si="193"/>
        <v>0.40647188000710688</v>
      </c>
      <c r="CQ91" s="20">
        <f t="shared" si="194"/>
        <v>0.40647188000710688</v>
      </c>
      <c r="CR91" s="20">
        <f t="shared" si="195"/>
        <v>0.40647188000710688</v>
      </c>
      <c r="CS91" s="20">
        <f t="shared" si="196"/>
        <v>0.40647188000710688</v>
      </c>
      <c r="CT91" s="20">
        <f t="shared" si="197"/>
        <v>0.40647188000710688</v>
      </c>
      <c r="CU91" s="20">
        <f t="shared" si="198"/>
        <v>0.40647188000710688</v>
      </c>
      <c r="CV91" s="20">
        <f t="shared" si="199"/>
        <v>0.40647188000710688</v>
      </c>
      <c r="CW91" s="20">
        <f t="shared" si="200"/>
        <v>0.40647188000710688</v>
      </c>
      <c r="CX91" s="20">
        <f t="shared" si="201"/>
        <v>0.40647188000710688</v>
      </c>
      <c r="CY91" s="20">
        <f t="shared" si="202"/>
        <v>0.40647188000710688</v>
      </c>
      <c r="CZ91" s="18">
        <f t="shared" si="203"/>
        <v>0.40647188000710688</v>
      </c>
      <c r="DB91" s="52"/>
      <c r="DC91" s="22">
        <v>4.3333333333333335E-2</v>
      </c>
      <c r="DD91" s="18">
        <f t="shared" si="204"/>
        <v>178.05843599786795</v>
      </c>
      <c r="DE91" s="20">
        <f t="shared" si="205"/>
        <v>170.67335310986468</v>
      </c>
      <c r="DF91" s="20">
        <f t="shared" si="206"/>
        <v>163.32646747521167</v>
      </c>
      <c r="DG91" s="20">
        <f t="shared" si="207"/>
        <v>156.05552986067801</v>
      </c>
      <c r="DH91" s="20">
        <f t="shared" si="208"/>
        <v>148.89740419017664</v>
      </c>
      <c r="DI91" s="20">
        <f t="shared" si="209"/>
        <v>141.88763932631554</v>
      </c>
      <c r="DJ91" s="20">
        <f t="shared" si="210"/>
        <v>135.0600587556485</v>
      </c>
      <c r="DK91" s="20">
        <f t="shared" si="211"/>
        <v>128.44637359066394</v>
      </c>
      <c r="DL91" s="20">
        <f t="shared" si="212"/>
        <v>122.07582384861882</v>
      </c>
      <c r="DM91" s="20">
        <f t="shared" si="213"/>
        <v>115.97485242834938</v>
      </c>
      <c r="DN91" s="20">
        <f t="shared" si="214"/>
        <v>110.16681559755136</v>
      </c>
      <c r="DO91" s="20">
        <f t="shared" si="215"/>
        <v>104.67173314279312</v>
      </c>
      <c r="DP91" s="20">
        <f t="shared" si="216"/>
        <v>99.506080641682345</v>
      </c>
      <c r="DQ91" s="20">
        <f t="shared" si="217"/>
        <v>94.682625610318439</v>
      </c>
      <c r="DR91" s="20">
        <f t="shared" si="218"/>
        <v>90.210308578001062</v>
      </c>
      <c r="DS91" s="20">
        <f t="shared" si="219"/>
        <v>86.09416946245446</v>
      </c>
      <c r="DT91" s="20">
        <f t="shared" si="220"/>
        <v>82.335318978002078</v>
      </c>
      <c r="DU91" s="20">
        <f t="shared" si="221"/>
        <v>78.93095421924825</v>
      </c>
      <c r="DV91" s="20">
        <f t="shared" si="222"/>
        <v>75.874417034188596</v>
      </c>
      <c r="DW91" s="20">
        <f t="shared" si="223"/>
        <v>73.155293340574318</v>
      </c>
      <c r="DX91" s="20">
        <f t="shared" si="224"/>
        <v>70.759551151982947</v>
      </c>
      <c r="DY91" s="20">
        <f t="shared" si="225"/>
        <v>68.669714766521963</v>
      </c>
      <c r="DZ91" s="20">
        <f t="shared" si="226"/>
        <v>66.865072329631772</v>
      </c>
      <c r="EA91" s="20">
        <f t="shared" si="227"/>
        <v>65.321913808663879</v>
      </c>
      <c r="EB91" s="20">
        <f t="shared" si="228"/>
        <v>64.013796304166718</v>
      </c>
      <c r="EC91" s="20">
        <f t="shared" si="229"/>
        <v>62.911833562711649</v>
      </c>
      <c r="ED91" s="20">
        <f t="shared" si="230"/>
        <v>61.985006538978169</v>
      </c>
      <c r="EE91" s="20">
        <f t="shared" si="231"/>
        <v>61.200491870316704</v>
      </c>
      <c r="EF91" s="20">
        <f t="shared" si="232"/>
        <v>60.524005164571172</v>
      </c>
      <c r="EG91" s="20">
        <f t="shared" si="233"/>
        <v>59.920156051393164</v>
      </c>
      <c r="EH91" s="18">
        <f t="shared" si="234"/>
        <v>59.352811999289315</v>
      </c>
    </row>
    <row r="92" spans="5:138" x14ac:dyDescent="0.3">
      <c r="E92" s="54"/>
      <c r="F92" s="22">
        <v>0.04</v>
      </c>
      <c r="G92" s="31">
        <f t="shared" si="139"/>
        <v>300</v>
      </c>
      <c r="H92" s="32">
        <f t="shared" si="235"/>
        <v>287.55731592280466</v>
      </c>
      <c r="I92" s="32">
        <f t="shared" si="236"/>
        <v>275.17898811124121</v>
      </c>
      <c r="J92" s="32">
        <f t="shared" si="237"/>
        <v>262.92862057242814</v>
      </c>
      <c r="K92" s="32">
        <f t="shared" si="238"/>
        <v>250.86832312504339</v>
      </c>
      <c r="L92" s="32">
        <f t="shared" si="239"/>
        <v>239.05798991969326</v>
      </c>
      <c r="M92" s="32">
        <f t="shared" si="240"/>
        <v>227.55460812415376</v>
      </c>
      <c r="N92" s="32">
        <f t="shared" si="241"/>
        <v>216.41160589358756</v>
      </c>
      <c r="O92" s="32">
        <f t="shared" si="242"/>
        <v>205.678247982725</v>
      </c>
      <c r="P92" s="32">
        <f t="shared" si="243"/>
        <v>195.39908644890835</v>
      </c>
      <c r="Q92" s="32">
        <f t="shared" si="244"/>
        <v>185.6134728694413</v>
      </c>
      <c r="R92" s="32">
        <f t="shared" si="245"/>
        <v>176.35513738430194</v>
      </c>
      <c r="S92" s="32">
        <f t="shared" si="246"/>
        <v>167.65183870795175</v>
      </c>
      <c r="T92" s="32">
        <f t="shared" si="247"/>
        <v>159.52508806398617</v>
      </c>
      <c r="U92" s="32">
        <f t="shared" si="248"/>
        <v>151.9899488150304</v>
      </c>
      <c r="V92" s="32">
        <f t="shared" si="249"/>
        <v>145.05491241676191</v>
      </c>
      <c r="W92" s="32">
        <f t="shared" si="250"/>
        <v>138.72185024525538</v>
      </c>
      <c r="X92" s="32">
        <f t="shared" si="251"/>
        <v>132.9860398529953</v>
      </c>
      <c r="Y92" s="32">
        <f t="shared" si="252"/>
        <v>127.83626331823524</v>
      </c>
      <c r="Z92" s="32">
        <f t="shared" si="253"/>
        <v>123.2549745771949</v>
      </c>
      <c r="AA92" s="32">
        <f t="shared" si="254"/>
        <v>119.21853197592428</v>
      </c>
      <c r="AB92" s="32">
        <f t="shared" si="255"/>
        <v>115.69749175042325</v>
      </c>
      <c r="AC92" s="32">
        <f t="shared" si="256"/>
        <v>112.65695773678326</v>
      </c>
      <c r="AD92" s="32">
        <f t="shared" si="257"/>
        <v>110.05698232030869</v>
      </c>
      <c r="AE92" s="32">
        <f t="shared" si="258"/>
        <v>107.85301344262041</v>
      </c>
      <c r="AF92" s="32">
        <f t="shared" si="259"/>
        <v>105.99638238448577</v>
      </c>
      <c r="AG92" s="32">
        <f t="shared" si="260"/>
        <v>104.43482701328519</v>
      </c>
      <c r="AH92" s="32">
        <f t="shared" si="261"/>
        <v>103.11304521014021</v>
      </c>
      <c r="AI92" s="32">
        <f t="shared" si="262"/>
        <v>101.97327325501593</v>
      </c>
      <c r="AJ92" s="32">
        <f t="shared" si="263"/>
        <v>100.95588403142659</v>
      </c>
      <c r="AK92" s="31">
        <f t="shared" si="141"/>
        <v>100</v>
      </c>
      <c r="AL92" s="55"/>
      <c r="AM92" s="22">
        <v>0.04</v>
      </c>
      <c r="AN92" s="18">
        <f t="shared" si="142"/>
        <v>-1076400000</v>
      </c>
      <c r="AO92" s="20">
        <f t="shared" si="143"/>
        <v>-1031755649.5310231</v>
      </c>
      <c r="AP92" s="20">
        <f t="shared" si="144"/>
        <v>-987342209.34313321</v>
      </c>
      <c r="AQ92" s="20">
        <f t="shared" si="145"/>
        <v>-943387890.61387217</v>
      </c>
      <c r="AR92" s="20">
        <f t="shared" si="146"/>
        <v>-900115543.37265563</v>
      </c>
      <c r="AS92" s="20">
        <f t="shared" si="147"/>
        <v>-857740067.83185923</v>
      </c>
      <c r="AT92" s="20">
        <f t="shared" si="148"/>
        <v>-816465933.94946361</v>
      </c>
      <c r="AU92" s="20">
        <f t="shared" si="149"/>
        <v>-776484841.94619203</v>
      </c>
      <c r="AV92" s="20">
        <f t="shared" si="150"/>
        <v>-737973553.76201725</v>
      </c>
      <c r="AW92" s="20">
        <f t="shared" si="151"/>
        <v>-701091922.17868316</v>
      </c>
      <c r="AX92" s="20">
        <f t="shared" si="152"/>
        <v>-665981140.65555537</v>
      </c>
      <c r="AY92" s="20">
        <f t="shared" si="153"/>
        <v>-632762232.93487537</v>
      </c>
      <c r="AZ92" s="20">
        <f t="shared" si="154"/>
        <v>-601534797.28413081</v>
      </c>
      <c r="BA92" s="20">
        <f t="shared" si="155"/>
        <v>-572376015.97358239</v>
      </c>
      <c r="BB92" s="20">
        <f t="shared" si="156"/>
        <v>-545339936.34832907</v>
      </c>
      <c r="BC92" s="20">
        <f t="shared" si="157"/>
        <v>-520457025.75134164</v>
      </c>
      <c r="BD92" s="20">
        <f t="shared" si="158"/>
        <v>-497733998.67997628</v>
      </c>
      <c r="BE92" s="20">
        <f t="shared" si="159"/>
        <v>-477153910.99254715</v>
      </c>
      <c r="BF92" s="20">
        <f t="shared" si="160"/>
        <v>-458676512.78582805</v>
      </c>
      <c r="BG92" s="20">
        <f t="shared" si="161"/>
        <v>-442238848.78297532</v>
      </c>
      <c r="BH92" s="20">
        <f t="shared" si="162"/>
        <v>-427756092.72961628</v>
      </c>
      <c r="BI92" s="20">
        <f t="shared" si="163"/>
        <v>-415122600.4005186</v>
      </c>
      <c r="BJ92" s="20">
        <f t="shared" si="164"/>
        <v>-404213164.35957837</v>
      </c>
      <c r="BK92" s="20">
        <f t="shared" si="165"/>
        <v>-394884452.5652675</v>
      </c>
      <c r="BL92" s="20">
        <f t="shared" si="166"/>
        <v>-386976612.232122</v>
      </c>
      <c r="BM92" s="20">
        <f t="shared" si="167"/>
        <v>-380315019.9955349</v>
      </c>
      <c r="BN92" s="20">
        <f t="shared" si="168"/>
        <v>-374712159.32366723</v>
      </c>
      <c r="BO92" s="20">
        <f t="shared" si="169"/>
        <v>-369969606.21398306</v>
      </c>
      <c r="BP92" s="20">
        <f t="shared" si="170"/>
        <v>-365880104.43899709</v>
      </c>
      <c r="BQ92" s="20">
        <f t="shared" si="171"/>
        <v>-362229711.90475857</v>
      </c>
      <c r="BR92" s="18">
        <f t="shared" si="172"/>
        <v>-358800000</v>
      </c>
      <c r="BT92" s="52"/>
      <c r="BU92" s="22">
        <v>0.04</v>
      </c>
      <c r="BV92" s="18">
        <f t="shared" si="173"/>
        <v>0.40647188029542825</v>
      </c>
      <c r="BW92" s="20">
        <f t="shared" si="174"/>
        <v>0.40647188029542825</v>
      </c>
      <c r="BX92" s="20">
        <f t="shared" si="175"/>
        <v>0.40647188029542825</v>
      </c>
      <c r="BY92" s="20">
        <f t="shared" si="176"/>
        <v>0.40647188029542825</v>
      </c>
      <c r="BZ92" s="20">
        <f t="shared" si="177"/>
        <v>0.40647188029542825</v>
      </c>
      <c r="CA92" s="20">
        <f t="shared" si="178"/>
        <v>0.40647188029542825</v>
      </c>
      <c r="CB92" s="20">
        <f t="shared" si="179"/>
        <v>0.40647188029542825</v>
      </c>
      <c r="CC92" s="20">
        <f t="shared" si="180"/>
        <v>0.40647188029542825</v>
      </c>
      <c r="CD92" s="20">
        <f t="shared" si="181"/>
        <v>0.40647188029542825</v>
      </c>
      <c r="CE92" s="20">
        <f t="shared" si="182"/>
        <v>0.40647188029542825</v>
      </c>
      <c r="CF92" s="20">
        <f t="shared" si="183"/>
        <v>0.40647188029542825</v>
      </c>
      <c r="CG92" s="20">
        <f t="shared" si="184"/>
        <v>0.40647188029542825</v>
      </c>
      <c r="CH92" s="20">
        <f t="shared" si="185"/>
        <v>0.40647188029542825</v>
      </c>
      <c r="CI92" s="20">
        <f t="shared" si="186"/>
        <v>0.40647188029542825</v>
      </c>
      <c r="CJ92" s="20">
        <f t="shared" si="187"/>
        <v>0.40647188029542825</v>
      </c>
      <c r="CK92" s="20">
        <f t="shared" si="188"/>
        <v>0.40647188029542825</v>
      </c>
      <c r="CL92" s="20">
        <f t="shared" si="189"/>
        <v>0.40647188029542825</v>
      </c>
      <c r="CM92" s="20">
        <f t="shared" si="190"/>
        <v>0.40647188029542825</v>
      </c>
      <c r="CN92" s="20">
        <f t="shared" si="191"/>
        <v>0.40647188029542825</v>
      </c>
      <c r="CO92" s="20">
        <f t="shared" si="192"/>
        <v>0.40647188029542825</v>
      </c>
      <c r="CP92" s="20">
        <f t="shared" si="193"/>
        <v>0.40647188029542825</v>
      </c>
      <c r="CQ92" s="20">
        <f t="shared" si="194"/>
        <v>0.40647188029542825</v>
      </c>
      <c r="CR92" s="20">
        <f t="shared" si="195"/>
        <v>0.40647188029542825</v>
      </c>
      <c r="CS92" s="20">
        <f t="shared" si="196"/>
        <v>0.40647188029542825</v>
      </c>
      <c r="CT92" s="20">
        <f t="shared" si="197"/>
        <v>0.40647188029542825</v>
      </c>
      <c r="CU92" s="20">
        <f t="shared" si="198"/>
        <v>0.40647188029542825</v>
      </c>
      <c r="CV92" s="20">
        <f t="shared" si="199"/>
        <v>0.40647188029542825</v>
      </c>
      <c r="CW92" s="20">
        <f t="shared" si="200"/>
        <v>0.40647188029542825</v>
      </c>
      <c r="CX92" s="20">
        <f t="shared" si="201"/>
        <v>0.40647188029542825</v>
      </c>
      <c r="CY92" s="20">
        <f t="shared" si="202"/>
        <v>0.40647188029542825</v>
      </c>
      <c r="CZ92" s="18">
        <f t="shared" si="203"/>
        <v>0.40647188029542825</v>
      </c>
      <c r="DB92" s="52"/>
      <c r="DC92" s="22">
        <v>0.04</v>
      </c>
      <c r="DD92" s="18">
        <f t="shared" si="204"/>
        <v>178.05843591137156</v>
      </c>
      <c r="DE92" s="20">
        <f t="shared" si="205"/>
        <v>170.67335302695577</v>
      </c>
      <c r="DF92" s="20">
        <f t="shared" si="206"/>
        <v>163.32646739587167</v>
      </c>
      <c r="DG92" s="20">
        <f t="shared" si="207"/>
        <v>156.05552978487009</v>
      </c>
      <c r="DH92" s="20">
        <f t="shared" si="208"/>
        <v>148.89740411784595</v>
      </c>
      <c r="DI92" s="20">
        <f t="shared" si="209"/>
        <v>141.88763925739002</v>
      </c>
      <c r="DJ92" s="20">
        <f t="shared" si="210"/>
        <v>135.06005869003965</v>
      </c>
      <c r="DK92" s="20">
        <f t="shared" si="211"/>
        <v>128.44637352826786</v>
      </c>
      <c r="DL92" s="20">
        <f t="shared" si="212"/>
        <v>122.0758237893174</v>
      </c>
      <c r="DM92" s="20">
        <f t="shared" si="213"/>
        <v>115.97485237201165</v>
      </c>
      <c r="DN92" s="20">
        <f t="shared" si="214"/>
        <v>110.16681554403505</v>
      </c>
      <c r="DO92" s="20">
        <f t="shared" si="215"/>
        <v>104.67173309194617</v>
      </c>
      <c r="DP92" s="20">
        <f t="shared" si="216"/>
        <v>99.506080593344748</v>
      </c>
      <c r="DQ92" s="20">
        <f t="shared" si="217"/>
        <v>94.682625564323956</v>
      </c>
      <c r="DR92" s="20">
        <f t="shared" si="218"/>
        <v>90.210308534179106</v>
      </c>
      <c r="DS92" s="20">
        <f t="shared" si="219"/>
        <v>86.094169420632028</v>
      </c>
      <c r="DT92" s="20">
        <f t="shared" si="220"/>
        <v>82.335318938005614</v>
      </c>
      <c r="DU92" s="20">
        <f t="shared" si="221"/>
        <v>78.930954180905559</v>
      </c>
      <c r="DV92" s="20">
        <f t="shared" si="222"/>
        <v>75.874416997330684</v>
      </c>
      <c r="DW92" s="20">
        <f t="shared" si="223"/>
        <v>73.15529330503729</v>
      </c>
      <c r="DX92" s="20">
        <f t="shared" si="224"/>
        <v>70.759551117609703</v>
      </c>
      <c r="DY92" s="20">
        <f t="shared" si="225"/>
        <v>68.669714733163929</v>
      </c>
      <c r="DZ92" s="20">
        <f t="shared" si="226"/>
        <v>66.865072297150391</v>
      </c>
      <c r="EA92" s="20">
        <f t="shared" si="227"/>
        <v>65.321913776932121</v>
      </c>
      <c r="EB92" s="20">
        <f t="shared" si="228"/>
        <v>64.013796273070398</v>
      </c>
      <c r="EC92" s="20">
        <f t="shared" si="229"/>
        <v>62.911833532150638</v>
      </c>
      <c r="ED92" s="20">
        <f t="shared" si="230"/>
        <v>61.985006508867379</v>
      </c>
      <c r="EE92" s="20">
        <f t="shared" si="231"/>
        <v>61.200491840587027</v>
      </c>
      <c r="EF92" s="20">
        <f t="shared" si="232"/>
        <v>60.5240051351701</v>
      </c>
      <c r="EG92" s="20">
        <f t="shared" si="233"/>
        <v>59.920156022285425</v>
      </c>
      <c r="EH92" s="18">
        <f t="shared" si="234"/>
        <v>59.352811970457175</v>
      </c>
    </row>
    <row r="93" spans="5:138" x14ac:dyDescent="0.3">
      <c r="E93" s="54"/>
      <c r="F93" s="22">
        <v>3.6666666666666667E-2</v>
      </c>
      <c r="G93" s="31">
        <f t="shared" si="139"/>
        <v>300</v>
      </c>
      <c r="H93" s="32">
        <f t="shared" si="235"/>
        <v>287.55731592280466</v>
      </c>
      <c r="I93" s="32">
        <f t="shared" si="236"/>
        <v>275.17898811124121</v>
      </c>
      <c r="J93" s="32">
        <f t="shared" si="237"/>
        <v>262.92862057242814</v>
      </c>
      <c r="K93" s="32">
        <f t="shared" si="238"/>
        <v>250.86832312504345</v>
      </c>
      <c r="L93" s="32">
        <f t="shared" si="239"/>
        <v>239.05798991969328</v>
      </c>
      <c r="M93" s="32">
        <f t="shared" si="240"/>
        <v>227.55460812415379</v>
      </c>
      <c r="N93" s="32">
        <f t="shared" si="241"/>
        <v>216.41160589358759</v>
      </c>
      <c r="O93" s="32">
        <f t="shared" si="242"/>
        <v>205.67824798272503</v>
      </c>
      <c r="P93" s="32">
        <f t="shared" si="243"/>
        <v>195.39908644890835</v>
      </c>
      <c r="Q93" s="32">
        <f t="shared" si="244"/>
        <v>185.6134728694413</v>
      </c>
      <c r="R93" s="32">
        <f t="shared" si="245"/>
        <v>176.35513738430194</v>
      </c>
      <c r="S93" s="32">
        <f t="shared" si="246"/>
        <v>167.65183870795175</v>
      </c>
      <c r="T93" s="32">
        <f t="shared" si="247"/>
        <v>159.52508806398617</v>
      </c>
      <c r="U93" s="32">
        <f t="shared" si="248"/>
        <v>151.98994881503043</v>
      </c>
      <c r="V93" s="32">
        <f t="shared" si="249"/>
        <v>145.05491241676191</v>
      </c>
      <c r="W93" s="32">
        <f t="shared" si="250"/>
        <v>138.72185024525538</v>
      </c>
      <c r="X93" s="32">
        <f t="shared" si="251"/>
        <v>132.9860398529953</v>
      </c>
      <c r="Y93" s="32">
        <f t="shared" si="252"/>
        <v>127.83626331823524</v>
      </c>
      <c r="Z93" s="32">
        <f t="shared" si="253"/>
        <v>123.2549745771949</v>
      </c>
      <c r="AA93" s="32">
        <f t="shared" si="254"/>
        <v>119.21853197592428</v>
      </c>
      <c r="AB93" s="32">
        <f t="shared" si="255"/>
        <v>115.69749175042328</v>
      </c>
      <c r="AC93" s="32">
        <f t="shared" si="256"/>
        <v>112.65695773678327</v>
      </c>
      <c r="AD93" s="32">
        <f t="shared" si="257"/>
        <v>110.05698232030869</v>
      </c>
      <c r="AE93" s="32">
        <f t="shared" si="258"/>
        <v>107.85301344262041</v>
      </c>
      <c r="AF93" s="32">
        <f t="shared" si="259"/>
        <v>105.99638238448577</v>
      </c>
      <c r="AG93" s="32">
        <f t="shared" si="260"/>
        <v>104.43482701328519</v>
      </c>
      <c r="AH93" s="32">
        <f t="shared" si="261"/>
        <v>103.11304521014023</v>
      </c>
      <c r="AI93" s="32">
        <f t="shared" si="262"/>
        <v>101.97327325501593</v>
      </c>
      <c r="AJ93" s="32">
        <f t="shared" si="263"/>
        <v>100.95588403142659</v>
      </c>
      <c r="AK93" s="31">
        <f t="shared" si="141"/>
        <v>100</v>
      </c>
      <c r="AL93" s="55"/>
      <c r="AM93" s="22">
        <v>3.6666666666666667E-2</v>
      </c>
      <c r="AN93" s="18">
        <f t="shared" si="142"/>
        <v>-1076400000</v>
      </c>
      <c r="AO93" s="20">
        <f t="shared" si="143"/>
        <v>-1031755649.5310231</v>
      </c>
      <c r="AP93" s="20">
        <f t="shared" si="144"/>
        <v>-987342209.34313345</v>
      </c>
      <c r="AQ93" s="20">
        <f t="shared" si="145"/>
        <v>-943387890.61387241</v>
      </c>
      <c r="AR93" s="20">
        <f t="shared" si="146"/>
        <v>-900115543.37265587</v>
      </c>
      <c r="AS93" s="20">
        <f t="shared" si="147"/>
        <v>-857740067.83185935</v>
      </c>
      <c r="AT93" s="20">
        <f t="shared" si="148"/>
        <v>-816465933.94946384</v>
      </c>
      <c r="AU93" s="20">
        <f t="shared" si="149"/>
        <v>-776484841.94619238</v>
      </c>
      <c r="AV93" s="20">
        <f t="shared" si="150"/>
        <v>-737973553.76201737</v>
      </c>
      <c r="AW93" s="20">
        <f t="shared" si="151"/>
        <v>-701091922.17868316</v>
      </c>
      <c r="AX93" s="20">
        <f t="shared" si="152"/>
        <v>-665981140.65555537</v>
      </c>
      <c r="AY93" s="20">
        <f t="shared" si="153"/>
        <v>-632762232.93487537</v>
      </c>
      <c r="AZ93" s="20">
        <f t="shared" si="154"/>
        <v>-601534797.28413081</v>
      </c>
      <c r="BA93" s="20">
        <f t="shared" si="155"/>
        <v>-572376015.97358239</v>
      </c>
      <c r="BB93" s="20">
        <f t="shared" si="156"/>
        <v>-545339936.34832907</v>
      </c>
      <c r="BC93" s="20">
        <f t="shared" si="157"/>
        <v>-520457025.75134164</v>
      </c>
      <c r="BD93" s="20">
        <f t="shared" si="158"/>
        <v>-497733998.67997628</v>
      </c>
      <c r="BE93" s="20">
        <f t="shared" si="159"/>
        <v>-477153910.99254715</v>
      </c>
      <c r="BF93" s="20">
        <f t="shared" si="160"/>
        <v>-458676512.78582805</v>
      </c>
      <c r="BG93" s="20">
        <f t="shared" si="161"/>
        <v>-442238848.78297532</v>
      </c>
      <c r="BH93" s="20">
        <f t="shared" si="162"/>
        <v>-427756092.72961628</v>
      </c>
      <c r="BI93" s="20">
        <f t="shared" si="163"/>
        <v>-415122600.40051866</v>
      </c>
      <c r="BJ93" s="20">
        <f t="shared" si="164"/>
        <v>-404213164.35957837</v>
      </c>
      <c r="BK93" s="20">
        <f t="shared" si="165"/>
        <v>-394884452.5652675</v>
      </c>
      <c r="BL93" s="20">
        <f t="shared" si="166"/>
        <v>-386976612.232122</v>
      </c>
      <c r="BM93" s="20">
        <f t="shared" si="167"/>
        <v>-380315019.9955349</v>
      </c>
      <c r="BN93" s="20">
        <f t="shared" si="168"/>
        <v>-374712159.32366723</v>
      </c>
      <c r="BO93" s="20">
        <f t="shared" si="169"/>
        <v>-369969606.21398306</v>
      </c>
      <c r="BP93" s="20">
        <f t="shared" si="170"/>
        <v>-365880104.43899709</v>
      </c>
      <c r="BQ93" s="20">
        <f t="shared" si="171"/>
        <v>-362229711.90475857</v>
      </c>
      <c r="BR93" s="18">
        <f t="shared" si="172"/>
        <v>-358800000</v>
      </c>
      <c r="BT93" s="52"/>
      <c r="BU93" s="22">
        <v>3.6666666666666667E-2</v>
      </c>
      <c r="BV93" s="18">
        <f t="shared" si="173"/>
        <v>0.40647188204051027</v>
      </c>
      <c r="BW93" s="20">
        <f t="shared" si="174"/>
        <v>0.40647188204051027</v>
      </c>
      <c r="BX93" s="20">
        <f t="shared" si="175"/>
        <v>0.40647188204051027</v>
      </c>
      <c r="BY93" s="20">
        <f t="shared" si="176"/>
        <v>0.40647188204051027</v>
      </c>
      <c r="BZ93" s="20">
        <f t="shared" si="177"/>
        <v>0.40647188204051027</v>
      </c>
      <c r="CA93" s="20">
        <f t="shared" si="178"/>
        <v>0.40647188204051027</v>
      </c>
      <c r="CB93" s="20">
        <f t="shared" si="179"/>
        <v>0.40647188204051027</v>
      </c>
      <c r="CC93" s="20">
        <f t="shared" si="180"/>
        <v>0.40647188204051027</v>
      </c>
      <c r="CD93" s="20">
        <f t="shared" si="181"/>
        <v>0.40647188204051027</v>
      </c>
      <c r="CE93" s="20">
        <f t="shared" si="182"/>
        <v>0.40647188204051027</v>
      </c>
      <c r="CF93" s="20">
        <f t="shared" si="183"/>
        <v>0.40647188204051027</v>
      </c>
      <c r="CG93" s="20">
        <f t="shared" si="184"/>
        <v>0.40647188204051027</v>
      </c>
      <c r="CH93" s="20">
        <f t="shared" si="185"/>
        <v>0.40647188204051027</v>
      </c>
      <c r="CI93" s="20">
        <f t="shared" si="186"/>
        <v>0.40647188204051027</v>
      </c>
      <c r="CJ93" s="20">
        <f t="shared" si="187"/>
        <v>0.40647188204051027</v>
      </c>
      <c r="CK93" s="20">
        <f t="shared" si="188"/>
        <v>0.40647188204051027</v>
      </c>
      <c r="CL93" s="20">
        <f t="shared" si="189"/>
        <v>0.40647188204051027</v>
      </c>
      <c r="CM93" s="20">
        <f t="shared" si="190"/>
        <v>0.40647188204051027</v>
      </c>
      <c r="CN93" s="20">
        <f t="shared" si="191"/>
        <v>0.40647188204051027</v>
      </c>
      <c r="CO93" s="20">
        <f t="shared" si="192"/>
        <v>0.40647188204051027</v>
      </c>
      <c r="CP93" s="20">
        <f t="shared" si="193"/>
        <v>0.40647188204051027</v>
      </c>
      <c r="CQ93" s="20">
        <f t="shared" si="194"/>
        <v>0.40647188204051027</v>
      </c>
      <c r="CR93" s="20">
        <f t="shared" si="195"/>
        <v>0.40647188204051027</v>
      </c>
      <c r="CS93" s="20">
        <f t="shared" si="196"/>
        <v>0.40647188204051027</v>
      </c>
      <c r="CT93" s="20">
        <f t="shared" si="197"/>
        <v>0.40647188204051027</v>
      </c>
      <c r="CU93" s="20">
        <f t="shared" si="198"/>
        <v>0.40647188204051027</v>
      </c>
      <c r="CV93" s="20">
        <f t="shared" si="199"/>
        <v>0.40647188204051027</v>
      </c>
      <c r="CW93" s="20">
        <f t="shared" si="200"/>
        <v>0.40647188204051027</v>
      </c>
      <c r="CX93" s="20">
        <f t="shared" si="201"/>
        <v>0.40647188204051027</v>
      </c>
      <c r="CY93" s="20">
        <f t="shared" si="202"/>
        <v>0.40647188204051027</v>
      </c>
      <c r="CZ93" s="18">
        <f t="shared" si="203"/>
        <v>0.40647188204051027</v>
      </c>
      <c r="DB93" s="52"/>
      <c r="DC93" s="22">
        <v>3.6666666666666667E-2</v>
      </c>
      <c r="DD93" s="18">
        <f t="shared" si="204"/>
        <v>178.05843538784694</v>
      </c>
      <c r="DE93" s="20">
        <f t="shared" si="205"/>
        <v>170.67335252514468</v>
      </c>
      <c r="DF93" s="20">
        <f t="shared" si="206"/>
        <v>163.32646691566183</v>
      </c>
      <c r="DG93" s="20">
        <f t="shared" si="207"/>
        <v>156.05552932603808</v>
      </c>
      <c r="DH93" s="20">
        <f t="shared" si="208"/>
        <v>148.89740368006019</v>
      </c>
      <c r="DI93" s="20">
        <f t="shared" si="209"/>
        <v>141.88763884021424</v>
      </c>
      <c r="DJ93" s="20">
        <f t="shared" si="210"/>
        <v>135.06005829293824</v>
      </c>
      <c r="DK93" s="20">
        <f t="shared" si="211"/>
        <v>128.44637315061189</v>
      </c>
      <c r="DL93" s="20">
        <f t="shared" si="212"/>
        <v>122.07582343039201</v>
      </c>
      <c r="DM93" s="20">
        <f t="shared" si="213"/>
        <v>115.97485203102421</v>
      </c>
      <c r="DN93" s="20">
        <f t="shared" si="214"/>
        <v>110.16681522012431</v>
      </c>
      <c r="DO93" s="20">
        <f t="shared" si="215"/>
        <v>104.67173278419199</v>
      </c>
      <c r="DP93" s="20">
        <f t="shared" si="216"/>
        <v>99.506080300778535</v>
      </c>
      <c r="DQ93" s="20">
        <f t="shared" si="217"/>
        <v>94.682625285939579</v>
      </c>
      <c r="DR93" s="20">
        <f t="shared" si="218"/>
        <v>90.210308268944189</v>
      </c>
      <c r="DS93" s="20">
        <f t="shared" si="219"/>
        <v>86.094169167499317</v>
      </c>
      <c r="DT93" s="20">
        <f t="shared" si="220"/>
        <v>82.335318695924599</v>
      </c>
      <c r="DU93" s="20">
        <f t="shared" si="221"/>
        <v>78.930953948834016</v>
      </c>
      <c r="DV93" s="20">
        <f t="shared" si="222"/>
        <v>75.874416774245915</v>
      </c>
      <c r="DW93" s="20">
        <f t="shared" si="223"/>
        <v>73.15529308994725</v>
      </c>
      <c r="DX93" s="20">
        <f t="shared" si="224"/>
        <v>70.759550909563586</v>
      </c>
      <c r="DY93" s="20">
        <f t="shared" si="225"/>
        <v>68.669714531262329</v>
      </c>
      <c r="DZ93" s="20">
        <f t="shared" si="226"/>
        <v>66.865072100554755</v>
      </c>
      <c r="EA93" s="20">
        <f t="shared" si="227"/>
        <v>65.321913584873656</v>
      </c>
      <c r="EB93" s="20">
        <f t="shared" si="228"/>
        <v>64.013796084858043</v>
      </c>
      <c r="EC93" s="20">
        <f t="shared" si="229"/>
        <v>62.911833347178252</v>
      </c>
      <c r="ED93" s="20">
        <f t="shared" si="230"/>
        <v>61.985006326620038</v>
      </c>
      <c r="EE93" s="20">
        <f t="shared" si="231"/>
        <v>61.200491660646307</v>
      </c>
      <c r="EF93" s="20">
        <f t="shared" si="232"/>
        <v>60.524004957218374</v>
      </c>
      <c r="EG93" s="20">
        <f t="shared" si="233"/>
        <v>59.920155846109132</v>
      </c>
      <c r="EH93" s="18">
        <f t="shared" si="234"/>
        <v>59.35281179594898</v>
      </c>
    </row>
    <row r="94" spans="5:138" x14ac:dyDescent="0.3">
      <c r="E94" s="54"/>
      <c r="F94" s="22">
        <v>3.3333333333333333E-2</v>
      </c>
      <c r="G94" s="31">
        <f t="shared" si="139"/>
        <v>300</v>
      </c>
      <c r="H94" s="32">
        <f t="shared" si="235"/>
        <v>287.55731592280466</v>
      </c>
      <c r="I94" s="32">
        <f t="shared" si="236"/>
        <v>275.17898811124121</v>
      </c>
      <c r="J94" s="32">
        <f t="shared" si="237"/>
        <v>262.92862057242814</v>
      </c>
      <c r="K94" s="32">
        <f t="shared" si="238"/>
        <v>250.86832312504345</v>
      </c>
      <c r="L94" s="32">
        <f t="shared" si="239"/>
        <v>239.05798991969328</v>
      </c>
      <c r="M94" s="32">
        <f t="shared" si="240"/>
        <v>227.55460812415379</v>
      </c>
      <c r="N94" s="32">
        <f t="shared" si="241"/>
        <v>216.41160589358762</v>
      </c>
      <c r="O94" s="32">
        <f t="shared" si="242"/>
        <v>205.67824798272503</v>
      </c>
      <c r="P94" s="32">
        <f t="shared" si="243"/>
        <v>195.39908644890835</v>
      </c>
      <c r="Q94" s="32">
        <f t="shared" si="244"/>
        <v>185.6134728694413</v>
      </c>
      <c r="R94" s="32">
        <f t="shared" si="245"/>
        <v>176.35513738430194</v>
      </c>
      <c r="S94" s="32">
        <f t="shared" si="246"/>
        <v>167.65183870795175</v>
      </c>
      <c r="T94" s="32">
        <f t="shared" si="247"/>
        <v>159.52508806398617</v>
      </c>
      <c r="U94" s="32">
        <f t="shared" si="248"/>
        <v>151.98994881503043</v>
      </c>
      <c r="V94" s="32">
        <f t="shared" si="249"/>
        <v>145.05491241676191</v>
      </c>
      <c r="W94" s="32">
        <f t="shared" si="250"/>
        <v>138.72185024525538</v>
      </c>
      <c r="X94" s="32">
        <f t="shared" si="251"/>
        <v>132.9860398529953</v>
      </c>
      <c r="Y94" s="32">
        <f t="shared" si="252"/>
        <v>127.83626331823525</v>
      </c>
      <c r="Z94" s="32">
        <f t="shared" si="253"/>
        <v>123.2549745771949</v>
      </c>
      <c r="AA94" s="32">
        <f t="shared" si="254"/>
        <v>119.21853197592426</v>
      </c>
      <c r="AB94" s="32">
        <f t="shared" si="255"/>
        <v>115.69749175042327</v>
      </c>
      <c r="AC94" s="32">
        <f t="shared" si="256"/>
        <v>112.65695773678327</v>
      </c>
      <c r="AD94" s="32">
        <f t="shared" si="257"/>
        <v>110.05698232030869</v>
      </c>
      <c r="AE94" s="32">
        <f t="shared" si="258"/>
        <v>107.85301344262041</v>
      </c>
      <c r="AF94" s="32">
        <f t="shared" si="259"/>
        <v>105.99638238448577</v>
      </c>
      <c r="AG94" s="32">
        <f t="shared" si="260"/>
        <v>104.43482701328519</v>
      </c>
      <c r="AH94" s="32">
        <f t="shared" si="261"/>
        <v>103.11304521014023</v>
      </c>
      <c r="AI94" s="32">
        <f t="shared" si="262"/>
        <v>101.97327325501593</v>
      </c>
      <c r="AJ94" s="32">
        <f t="shared" si="263"/>
        <v>100.95588403142659</v>
      </c>
      <c r="AK94" s="31">
        <f t="shared" si="141"/>
        <v>100</v>
      </c>
      <c r="AL94" s="55"/>
      <c r="AM94" s="22">
        <v>3.3333333333333333E-2</v>
      </c>
      <c r="AN94" s="18">
        <f t="shared" si="142"/>
        <v>-1076400000</v>
      </c>
      <c r="AO94" s="20">
        <f t="shared" si="143"/>
        <v>-1031755649.5310231</v>
      </c>
      <c r="AP94" s="20">
        <f t="shared" si="144"/>
        <v>-987342209.34313345</v>
      </c>
      <c r="AQ94" s="20">
        <f t="shared" si="145"/>
        <v>-943387890.61387241</v>
      </c>
      <c r="AR94" s="20">
        <f t="shared" si="146"/>
        <v>-900115543.37265587</v>
      </c>
      <c r="AS94" s="20">
        <f t="shared" si="147"/>
        <v>-857740067.83185935</v>
      </c>
      <c r="AT94" s="20">
        <f t="shared" si="148"/>
        <v>-816465933.94946384</v>
      </c>
      <c r="AU94" s="20">
        <f t="shared" si="149"/>
        <v>-776484841.94619238</v>
      </c>
      <c r="AV94" s="20">
        <f t="shared" si="150"/>
        <v>-737973553.76201737</v>
      </c>
      <c r="AW94" s="20">
        <f t="shared" si="151"/>
        <v>-701091922.17868316</v>
      </c>
      <c r="AX94" s="20">
        <f t="shared" si="152"/>
        <v>-665981140.65555537</v>
      </c>
      <c r="AY94" s="20">
        <f t="shared" si="153"/>
        <v>-632762232.93487537</v>
      </c>
      <c r="AZ94" s="20">
        <f t="shared" si="154"/>
        <v>-601534797.28413081</v>
      </c>
      <c r="BA94" s="20">
        <f t="shared" si="155"/>
        <v>-572376015.97358239</v>
      </c>
      <c r="BB94" s="20">
        <f t="shared" si="156"/>
        <v>-545339936.34832907</v>
      </c>
      <c r="BC94" s="20">
        <f t="shared" si="157"/>
        <v>-520457025.75134164</v>
      </c>
      <c r="BD94" s="20">
        <f t="shared" si="158"/>
        <v>-497733998.67997628</v>
      </c>
      <c r="BE94" s="20">
        <f t="shared" si="159"/>
        <v>-477153910.99254715</v>
      </c>
      <c r="BF94" s="20">
        <f t="shared" si="160"/>
        <v>-458676512.78582805</v>
      </c>
      <c r="BG94" s="20">
        <f t="shared" si="161"/>
        <v>-442238848.78297532</v>
      </c>
      <c r="BH94" s="20">
        <f t="shared" si="162"/>
        <v>-427756092.72961628</v>
      </c>
      <c r="BI94" s="20">
        <f t="shared" si="163"/>
        <v>-415122600.40051866</v>
      </c>
      <c r="BJ94" s="20">
        <f t="shared" si="164"/>
        <v>-404213164.35957837</v>
      </c>
      <c r="BK94" s="20">
        <f t="shared" si="165"/>
        <v>-394884452.5652675</v>
      </c>
      <c r="BL94" s="20">
        <f t="shared" si="166"/>
        <v>-386976612.232122</v>
      </c>
      <c r="BM94" s="20">
        <f t="shared" si="167"/>
        <v>-380315019.9955349</v>
      </c>
      <c r="BN94" s="20">
        <f t="shared" si="168"/>
        <v>-374712159.32366723</v>
      </c>
      <c r="BO94" s="20">
        <f t="shared" si="169"/>
        <v>-369969606.21398306</v>
      </c>
      <c r="BP94" s="20">
        <f t="shared" si="170"/>
        <v>-365880104.43899709</v>
      </c>
      <c r="BQ94" s="20">
        <f t="shared" si="171"/>
        <v>-362229711.90475857</v>
      </c>
      <c r="BR94" s="18">
        <f t="shared" si="172"/>
        <v>-358800000</v>
      </c>
      <c r="BT94" s="52"/>
      <c r="BU94" s="22">
        <v>3.3333333333333333E-2</v>
      </c>
      <c r="BV94" s="18">
        <f t="shared" si="173"/>
        <v>0.40647189260272093</v>
      </c>
      <c r="BW94" s="20">
        <f t="shared" si="174"/>
        <v>0.40647189260272093</v>
      </c>
      <c r="BX94" s="20">
        <f t="shared" si="175"/>
        <v>0.40647189260272093</v>
      </c>
      <c r="BY94" s="20">
        <f t="shared" si="176"/>
        <v>0.40647189260272093</v>
      </c>
      <c r="BZ94" s="20">
        <f t="shared" si="177"/>
        <v>0.40647189260272093</v>
      </c>
      <c r="CA94" s="20">
        <f t="shared" si="178"/>
        <v>0.40647189260272093</v>
      </c>
      <c r="CB94" s="20">
        <f t="shared" si="179"/>
        <v>0.40647189260272093</v>
      </c>
      <c r="CC94" s="20">
        <f t="shared" si="180"/>
        <v>0.40647189260272093</v>
      </c>
      <c r="CD94" s="20">
        <f t="shared" si="181"/>
        <v>0.40647189260272093</v>
      </c>
      <c r="CE94" s="20">
        <f t="shared" si="182"/>
        <v>0.40647189260272093</v>
      </c>
      <c r="CF94" s="20">
        <f t="shared" si="183"/>
        <v>0.40647189260272093</v>
      </c>
      <c r="CG94" s="20">
        <f t="shared" si="184"/>
        <v>0.40647189260272093</v>
      </c>
      <c r="CH94" s="20">
        <f t="shared" si="185"/>
        <v>0.40647189260272093</v>
      </c>
      <c r="CI94" s="20">
        <f t="shared" si="186"/>
        <v>0.40647189260272093</v>
      </c>
      <c r="CJ94" s="20">
        <f t="shared" si="187"/>
        <v>0.40647189260272093</v>
      </c>
      <c r="CK94" s="20">
        <f t="shared" si="188"/>
        <v>0.40647189260272093</v>
      </c>
      <c r="CL94" s="20">
        <f t="shared" si="189"/>
        <v>0.40647189260272093</v>
      </c>
      <c r="CM94" s="20">
        <f t="shared" si="190"/>
        <v>0.40647189260272093</v>
      </c>
      <c r="CN94" s="20">
        <f t="shared" si="191"/>
        <v>0.40647189260272093</v>
      </c>
      <c r="CO94" s="20">
        <f t="shared" si="192"/>
        <v>0.40647189260272093</v>
      </c>
      <c r="CP94" s="20">
        <f t="shared" si="193"/>
        <v>0.40647189260272093</v>
      </c>
      <c r="CQ94" s="20">
        <f t="shared" si="194"/>
        <v>0.40647189260272093</v>
      </c>
      <c r="CR94" s="20">
        <f t="shared" si="195"/>
        <v>0.40647189260272093</v>
      </c>
      <c r="CS94" s="20">
        <f t="shared" si="196"/>
        <v>0.40647189260272093</v>
      </c>
      <c r="CT94" s="20">
        <f t="shared" si="197"/>
        <v>0.40647189260272093</v>
      </c>
      <c r="CU94" s="20">
        <f t="shared" si="198"/>
        <v>0.40647189260272093</v>
      </c>
      <c r="CV94" s="20">
        <f t="shared" si="199"/>
        <v>0.40647189260272093</v>
      </c>
      <c r="CW94" s="20">
        <f t="shared" si="200"/>
        <v>0.40647189260272093</v>
      </c>
      <c r="CX94" s="20">
        <f t="shared" si="201"/>
        <v>0.40647189260272093</v>
      </c>
      <c r="CY94" s="20">
        <f t="shared" si="202"/>
        <v>0.40647189260272093</v>
      </c>
      <c r="CZ94" s="18">
        <f t="shared" si="203"/>
        <v>0.40647189260272093</v>
      </c>
      <c r="DB94" s="52"/>
      <c r="DC94" s="22">
        <v>3.3333333333333333E-2</v>
      </c>
      <c r="DD94" s="18">
        <f t="shared" si="204"/>
        <v>178.05843221918371</v>
      </c>
      <c r="DE94" s="20">
        <f t="shared" si="205"/>
        <v>170.67334948790372</v>
      </c>
      <c r="DF94" s="20">
        <f t="shared" si="206"/>
        <v>163.32646400916337</v>
      </c>
      <c r="DG94" s="20">
        <f t="shared" si="207"/>
        <v>156.0555265489306</v>
      </c>
      <c r="DH94" s="20">
        <f t="shared" si="208"/>
        <v>148.89740103033611</v>
      </c>
      <c r="DI94" s="20">
        <f t="shared" si="209"/>
        <v>141.88763631523338</v>
      </c>
      <c r="DJ94" s="20">
        <f t="shared" si="210"/>
        <v>135.06005588945851</v>
      </c>
      <c r="DK94" s="20">
        <f t="shared" si="211"/>
        <v>128.44637086482692</v>
      </c>
      <c r="DL94" s="20">
        <f t="shared" si="212"/>
        <v>122.07582125797502</v>
      </c>
      <c r="DM94" s="20">
        <f t="shared" si="213"/>
        <v>115.9748499671779</v>
      </c>
      <c r="DN94" s="20">
        <f t="shared" si="214"/>
        <v>110.16681325963572</v>
      </c>
      <c r="DO94" s="20">
        <f t="shared" si="215"/>
        <v>104.67173092149187</v>
      </c>
      <c r="DP94" s="20">
        <f t="shared" si="216"/>
        <v>99.506078530004487</v>
      </c>
      <c r="DQ94" s="20">
        <f t="shared" si="217"/>
        <v>94.682623601001993</v>
      </c>
      <c r="DR94" s="20">
        <f t="shared" si="218"/>
        <v>90.210306663594338</v>
      </c>
      <c r="DS94" s="20">
        <f t="shared" si="219"/>
        <v>86.094167635398762</v>
      </c>
      <c r="DT94" s="20">
        <f t="shared" si="220"/>
        <v>82.335317230715191</v>
      </c>
      <c r="DU94" s="20">
        <f t="shared" si="221"/>
        <v>78.930952544207429</v>
      </c>
      <c r="DV94" s="20">
        <f t="shared" si="222"/>
        <v>75.874415424012383</v>
      </c>
      <c r="DW94" s="20">
        <f t="shared" si="223"/>
        <v>73.155291788102247</v>
      </c>
      <c r="DX94" s="20">
        <f t="shared" si="224"/>
        <v>70.759549650352326</v>
      </c>
      <c r="DY94" s="20">
        <f t="shared" si="225"/>
        <v>68.669713309241033</v>
      </c>
      <c r="DZ94" s="20">
        <f t="shared" si="226"/>
        <v>66.865070910648228</v>
      </c>
      <c r="EA94" s="20">
        <f t="shared" si="227"/>
        <v>65.321912422428611</v>
      </c>
      <c r="EB94" s="20">
        <f t="shared" si="228"/>
        <v>64.013794945691799</v>
      </c>
      <c r="EC94" s="20">
        <f t="shared" si="229"/>
        <v>62.911832227622128</v>
      </c>
      <c r="ED94" s="20">
        <f t="shared" si="230"/>
        <v>61.985005223557394</v>
      </c>
      <c r="EE94" s="20">
        <f t="shared" si="231"/>
        <v>61.200490571544599</v>
      </c>
      <c r="EF94" s="20">
        <f t="shared" si="232"/>
        <v>60.524003880155171</v>
      </c>
      <c r="EG94" s="20">
        <f t="shared" si="233"/>
        <v>59.920154779791808</v>
      </c>
      <c r="EH94" s="18">
        <f t="shared" si="234"/>
        <v>59.352810739727914</v>
      </c>
    </row>
    <row r="95" spans="5:138" x14ac:dyDescent="0.3">
      <c r="E95" s="54"/>
      <c r="F95" s="22">
        <v>3.0000000000000002E-2</v>
      </c>
      <c r="G95" s="31">
        <f t="shared" si="139"/>
        <v>300</v>
      </c>
      <c r="H95" s="32">
        <f t="shared" si="235"/>
        <v>287.55731592280472</v>
      </c>
      <c r="I95" s="32">
        <f t="shared" si="236"/>
        <v>275.17898811124121</v>
      </c>
      <c r="J95" s="32">
        <f t="shared" si="237"/>
        <v>262.9286205724282</v>
      </c>
      <c r="K95" s="32">
        <f t="shared" si="238"/>
        <v>250.8683231250435</v>
      </c>
      <c r="L95" s="32">
        <f t="shared" si="239"/>
        <v>239.05798991969328</v>
      </c>
      <c r="M95" s="32">
        <f t="shared" si="240"/>
        <v>227.55460812415379</v>
      </c>
      <c r="N95" s="32">
        <f t="shared" si="241"/>
        <v>216.41160589358765</v>
      </c>
      <c r="O95" s="32">
        <f t="shared" si="242"/>
        <v>205.67824798272503</v>
      </c>
      <c r="P95" s="32">
        <f t="shared" si="243"/>
        <v>195.39908644890835</v>
      </c>
      <c r="Q95" s="32">
        <f t="shared" si="244"/>
        <v>185.6134728694413</v>
      </c>
      <c r="R95" s="32">
        <f t="shared" si="245"/>
        <v>176.35513738430197</v>
      </c>
      <c r="S95" s="32">
        <f t="shared" si="246"/>
        <v>167.65183870795175</v>
      </c>
      <c r="T95" s="32">
        <f t="shared" si="247"/>
        <v>159.5250880639862</v>
      </c>
      <c r="U95" s="32">
        <f t="shared" si="248"/>
        <v>151.98994881503046</v>
      </c>
      <c r="V95" s="32">
        <f t="shared" si="249"/>
        <v>145.05491241676191</v>
      </c>
      <c r="W95" s="32">
        <f t="shared" si="250"/>
        <v>138.72185024525538</v>
      </c>
      <c r="X95" s="32">
        <f t="shared" si="251"/>
        <v>132.9860398529953</v>
      </c>
      <c r="Y95" s="32">
        <f t="shared" si="252"/>
        <v>127.83626331823527</v>
      </c>
      <c r="Z95" s="32">
        <f t="shared" si="253"/>
        <v>123.2549745771949</v>
      </c>
      <c r="AA95" s="32">
        <f t="shared" si="254"/>
        <v>119.21853197592426</v>
      </c>
      <c r="AB95" s="32">
        <f t="shared" si="255"/>
        <v>115.69749175042327</v>
      </c>
      <c r="AC95" s="32">
        <f t="shared" si="256"/>
        <v>112.6569577367833</v>
      </c>
      <c r="AD95" s="32">
        <f t="shared" si="257"/>
        <v>110.05698232030869</v>
      </c>
      <c r="AE95" s="32">
        <f t="shared" si="258"/>
        <v>107.85301344262042</v>
      </c>
      <c r="AF95" s="32">
        <f t="shared" si="259"/>
        <v>105.9963823844858</v>
      </c>
      <c r="AG95" s="32">
        <f t="shared" si="260"/>
        <v>104.4348270132852</v>
      </c>
      <c r="AH95" s="32">
        <f t="shared" si="261"/>
        <v>103.11304521014023</v>
      </c>
      <c r="AI95" s="32">
        <f t="shared" si="262"/>
        <v>101.97327325501593</v>
      </c>
      <c r="AJ95" s="32">
        <f t="shared" si="263"/>
        <v>100.95588403142659</v>
      </c>
      <c r="AK95" s="31">
        <f t="shared" si="141"/>
        <v>100</v>
      </c>
      <c r="AL95" s="55"/>
      <c r="AM95" s="22">
        <v>3.0000000000000002E-2</v>
      </c>
      <c r="AN95" s="18">
        <f t="shared" si="142"/>
        <v>-1076400000</v>
      </c>
      <c r="AO95" s="20">
        <f t="shared" si="143"/>
        <v>-1031755649.5310231</v>
      </c>
      <c r="AP95" s="20">
        <f t="shared" si="144"/>
        <v>-987342209.34313345</v>
      </c>
      <c r="AQ95" s="20">
        <f t="shared" si="145"/>
        <v>-943387890.61387241</v>
      </c>
      <c r="AR95" s="20">
        <f t="shared" si="146"/>
        <v>-900115543.37265611</v>
      </c>
      <c r="AS95" s="20">
        <f t="shared" si="147"/>
        <v>-857740067.83185947</v>
      </c>
      <c r="AT95" s="20">
        <f t="shared" si="148"/>
        <v>-816465933.94946396</v>
      </c>
      <c r="AU95" s="20">
        <f t="shared" si="149"/>
        <v>-776484841.94619238</v>
      </c>
      <c r="AV95" s="20">
        <f t="shared" si="150"/>
        <v>-737973553.76201737</v>
      </c>
      <c r="AW95" s="20">
        <f t="shared" si="151"/>
        <v>-701091922.17868316</v>
      </c>
      <c r="AX95" s="20">
        <f t="shared" si="152"/>
        <v>-665981140.65555549</v>
      </c>
      <c r="AY95" s="20">
        <f t="shared" si="153"/>
        <v>-632762232.93487549</v>
      </c>
      <c r="AZ95" s="20">
        <f t="shared" si="154"/>
        <v>-601534797.28413093</v>
      </c>
      <c r="BA95" s="20">
        <f t="shared" si="155"/>
        <v>-572376015.97358251</v>
      </c>
      <c r="BB95" s="20">
        <f t="shared" si="156"/>
        <v>-545339936.34832931</v>
      </c>
      <c r="BC95" s="20">
        <f t="shared" si="157"/>
        <v>-520457025.7513417</v>
      </c>
      <c r="BD95" s="20">
        <f t="shared" si="158"/>
        <v>-497733998.67997628</v>
      </c>
      <c r="BE95" s="20">
        <f t="shared" si="159"/>
        <v>-477153910.99254715</v>
      </c>
      <c r="BF95" s="20">
        <f t="shared" si="160"/>
        <v>-458676512.78582805</v>
      </c>
      <c r="BG95" s="20">
        <f t="shared" si="161"/>
        <v>-442238848.78297532</v>
      </c>
      <c r="BH95" s="20">
        <f t="shared" si="162"/>
        <v>-427756092.72961628</v>
      </c>
      <c r="BI95" s="20">
        <f t="shared" si="163"/>
        <v>-415122600.40051866</v>
      </c>
      <c r="BJ95" s="20">
        <f t="shared" si="164"/>
        <v>-404213164.35957843</v>
      </c>
      <c r="BK95" s="20">
        <f t="shared" si="165"/>
        <v>-394884452.56526756</v>
      </c>
      <c r="BL95" s="20">
        <f t="shared" si="166"/>
        <v>-386976612.23212212</v>
      </c>
      <c r="BM95" s="20">
        <f t="shared" si="167"/>
        <v>-380315019.99553502</v>
      </c>
      <c r="BN95" s="20">
        <f t="shared" si="168"/>
        <v>-374712159.32366729</v>
      </c>
      <c r="BO95" s="20">
        <f t="shared" si="169"/>
        <v>-369969606.21398306</v>
      </c>
      <c r="BP95" s="20">
        <f t="shared" si="170"/>
        <v>-365880104.43899709</v>
      </c>
      <c r="BQ95" s="20">
        <f t="shared" si="171"/>
        <v>-362229711.90475857</v>
      </c>
      <c r="BR95" s="18">
        <f t="shared" si="172"/>
        <v>-358800000</v>
      </c>
      <c r="BT95" s="52"/>
      <c r="BU95" s="22">
        <v>3.0000000000000002E-2</v>
      </c>
      <c r="BV95" s="18">
        <f t="shared" si="173"/>
        <v>0.40647195653111551</v>
      </c>
      <c r="BW95" s="20">
        <f t="shared" si="174"/>
        <v>0.40647195653111551</v>
      </c>
      <c r="BX95" s="20">
        <f t="shared" si="175"/>
        <v>0.40647195653111551</v>
      </c>
      <c r="BY95" s="20">
        <f t="shared" si="176"/>
        <v>0.40647195653111551</v>
      </c>
      <c r="BZ95" s="20">
        <f t="shared" si="177"/>
        <v>0.40647195653111551</v>
      </c>
      <c r="CA95" s="20">
        <f t="shared" si="178"/>
        <v>0.40647195653111551</v>
      </c>
      <c r="CB95" s="20">
        <f t="shared" si="179"/>
        <v>0.40647195653111551</v>
      </c>
      <c r="CC95" s="20">
        <f t="shared" si="180"/>
        <v>0.40647195653111551</v>
      </c>
      <c r="CD95" s="20">
        <f t="shared" si="181"/>
        <v>0.40647195653111551</v>
      </c>
      <c r="CE95" s="20">
        <f t="shared" si="182"/>
        <v>0.40647195653111551</v>
      </c>
      <c r="CF95" s="20">
        <f t="shared" si="183"/>
        <v>0.40647195653111551</v>
      </c>
      <c r="CG95" s="20">
        <f t="shared" si="184"/>
        <v>0.40647195653111551</v>
      </c>
      <c r="CH95" s="20">
        <f t="shared" si="185"/>
        <v>0.40647195653111551</v>
      </c>
      <c r="CI95" s="20">
        <f t="shared" si="186"/>
        <v>0.40647195653111551</v>
      </c>
      <c r="CJ95" s="20">
        <f t="shared" si="187"/>
        <v>0.40647195653111551</v>
      </c>
      <c r="CK95" s="20">
        <f t="shared" si="188"/>
        <v>0.40647195653111551</v>
      </c>
      <c r="CL95" s="20">
        <f t="shared" si="189"/>
        <v>0.40647195653111551</v>
      </c>
      <c r="CM95" s="20">
        <f t="shared" si="190"/>
        <v>0.40647195653111551</v>
      </c>
      <c r="CN95" s="20">
        <f t="shared" si="191"/>
        <v>0.40647195653111551</v>
      </c>
      <c r="CO95" s="20">
        <f t="shared" si="192"/>
        <v>0.40647195653111551</v>
      </c>
      <c r="CP95" s="20">
        <f t="shared" si="193"/>
        <v>0.40647195653111551</v>
      </c>
      <c r="CQ95" s="20">
        <f t="shared" si="194"/>
        <v>0.40647195653111551</v>
      </c>
      <c r="CR95" s="20">
        <f t="shared" si="195"/>
        <v>0.40647195653111551</v>
      </c>
      <c r="CS95" s="20">
        <f t="shared" si="196"/>
        <v>0.40647195653111551</v>
      </c>
      <c r="CT95" s="20">
        <f t="shared" si="197"/>
        <v>0.40647195653111551</v>
      </c>
      <c r="CU95" s="20">
        <f t="shared" si="198"/>
        <v>0.40647195653111551</v>
      </c>
      <c r="CV95" s="20">
        <f t="shared" si="199"/>
        <v>0.40647195653111551</v>
      </c>
      <c r="CW95" s="20">
        <f t="shared" si="200"/>
        <v>0.40647195653111551</v>
      </c>
      <c r="CX95" s="20">
        <f t="shared" si="201"/>
        <v>0.40647195653111551</v>
      </c>
      <c r="CY95" s="20">
        <f t="shared" si="202"/>
        <v>0.40647195653111551</v>
      </c>
      <c r="CZ95" s="18">
        <f t="shared" si="203"/>
        <v>0.40647195653111551</v>
      </c>
      <c r="DB95" s="52"/>
      <c r="DC95" s="22">
        <v>3.0000000000000002E-2</v>
      </c>
      <c r="DD95" s="18">
        <f t="shared" si="204"/>
        <v>178.05841304066536</v>
      </c>
      <c r="DE95" s="20">
        <f t="shared" si="205"/>
        <v>170.67333110482619</v>
      </c>
      <c r="DF95" s="20">
        <f t="shared" si="206"/>
        <v>163.32644641741246</v>
      </c>
      <c r="DG95" s="20">
        <f t="shared" si="207"/>
        <v>156.05550974032602</v>
      </c>
      <c r="DH95" s="20">
        <f t="shared" si="208"/>
        <v>148.89738499272698</v>
      </c>
      <c r="DI95" s="20">
        <f t="shared" si="209"/>
        <v>141.88762103263988</v>
      </c>
      <c r="DJ95" s="20">
        <f t="shared" si="210"/>
        <v>135.06004134225773</v>
      </c>
      <c r="DK95" s="20">
        <f t="shared" si="211"/>
        <v>128.44635702998039</v>
      </c>
      <c r="DL95" s="20">
        <f t="shared" si="212"/>
        <v>122.07580810929483</v>
      </c>
      <c r="DM95" s="20">
        <f t="shared" si="213"/>
        <v>115.97483747562801</v>
      </c>
      <c r="DN95" s="20">
        <f t="shared" si="214"/>
        <v>110.16680139366439</v>
      </c>
      <c r="DO95" s="20">
        <f t="shared" si="215"/>
        <v>104.67171964739109</v>
      </c>
      <c r="DP95" s="20">
        <f t="shared" si="216"/>
        <v>99.506067812291604</v>
      </c>
      <c r="DQ95" s="20">
        <f t="shared" si="217"/>
        <v>94.682613402819243</v>
      </c>
      <c r="DR95" s="20">
        <f t="shared" si="218"/>
        <v>90.210296947120938</v>
      </c>
      <c r="DS95" s="20">
        <f t="shared" si="219"/>
        <v>86.094158362271102</v>
      </c>
      <c r="DT95" s="20">
        <f t="shared" si="220"/>
        <v>82.335308362450021</v>
      </c>
      <c r="DU95" s="20">
        <f t="shared" si="221"/>
        <v>78.930944042623409</v>
      </c>
      <c r="DV95" s="20">
        <f t="shared" si="222"/>
        <v>75.874407251645309</v>
      </c>
      <c r="DW95" s="20">
        <f t="shared" si="223"/>
        <v>73.15528390860959</v>
      </c>
      <c r="DX95" s="20">
        <f t="shared" si="224"/>
        <v>70.75954202890297</v>
      </c>
      <c r="DY95" s="20">
        <f t="shared" si="225"/>
        <v>68.66970591288613</v>
      </c>
      <c r="DZ95" s="20">
        <f t="shared" si="226"/>
        <v>66.865063708669808</v>
      </c>
      <c r="EA95" s="20">
        <f t="shared" si="227"/>
        <v>65.321905386662422</v>
      </c>
      <c r="EB95" s="20">
        <f t="shared" si="228"/>
        <v>64.013788050821802</v>
      </c>
      <c r="EC95" s="20">
        <f t="shared" si="229"/>
        <v>62.91182545144359</v>
      </c>
      <c r="ED95" s="20">
        <f t="shared" si="230"/>
        <v>61.984998547206573</v>
      </c>
      <c r="EE95" s="20">
        <f t="shared" si="231"/>
        <v>61.200483979693161</v>
      </c>
      <c r="EF95" s="20">
        <f t="shared" si="232"/>
        <v>60.523997361167531</v>
      </c>
      <c r="EG95" s="20">
        <f t="shared" si="233"/>
        <v>59.920148325844224</v>
      </c>
      <c r="EH95" s="18">
        <f t="shared" si="234"/>
        <v>59.352804346888455</v>
      </c>
    </row>
    <row r="96" spans="5:138" x14ac:dyDescent="0.3">
      <c r="E96" s="54"/>
      <c r="F96" s="22">
        <v>2.6666666666666668E-2</v>
      </c>
      <c r="G96" s="31">
        <f t="shared" si="139"/>
        <v>300</v>
      </c>
      <c r="H96" s="32">
        <f t="shared" si="235"/>
        <v>287.55731592280472</v>
      </c>
      <c r="I96" s="32">
        <f t="shared" si="236"/>
        <v>275.17898811124127</v>
      </c>
      <c r="J96" s="32">
        <f t="shared" si="237"/>
        <v>262.92862057242826</v>
      </c>
      <c r="K96" s="32">
        <f t="shared" si="238"/>
        <v>250.8683231250435</v>
      </c>
      <c r="L96" s="32">
        <f t="shared" si="239"/>
        <v>239.05798991969328</v>
      </c>
      <c r="M96" s="32">
        <f t="shared" si="240"/>
        <v>227.55460812415379</v>
      </c>
      <c r="N96" s="32">
        <f t="shared" si="241"/>
        <v>216.41160589358765</v>
      </c>
      <c r="O96" s="32">
        <f t="shared" si="242"/>
        <v>205.67824798272505</v>
      </c>
      <c r="P96" s="32">
        <f t="shared" si="243"/>
        <v>195.39908644890841</v>
      </c>
      <c r="Q96" s="32">
        <f t="shared" si="244"/>
        <v>185.61347286944135</v>
      </c>
      <c r="R96" s="32">
        <f t="shared" si="245"/>
        <v>176.355137384302</v>
      </c>
      <c r="S96" s="32">
        <f t="shared" si="246"/>
        <v>167.65183870795175</v>
      </c>
      <c r="T96" s="32">
        <f t="shared" si="247"/>
        <v>159.52508806398623</v>
      </c>
      <c r="U96" s="32">
        <f t="shared" si="248"/>
        <v>151.98994881503046</v>
      </c>
      <c r="V96" s="32">
        <f t="shared" si="249"/>
        <v>145.05491241676191</v>
      </c>
      <c r="W96" s="32">
        <f t="shared" si="250"/>
        <v>138.72185024525538</v>
      </c>
      <c r="X96" s="32">
        <f t="shared" si="251"/>
        <v>132.9860398529953</v>
      </c>
      <c r="Y96" s="32">
        <f t="shared" si="252"/>
        <v>127.83626331823527</v>
      </c>
      <c r="Z96" s="32">
        <f t="shared" si="253"/>
        <v>123.2549745771949</v>
      </c>
      <c r="AA96" s="32">
        <f t="shared" si="254"/>
        <v>119.21853197592426</v>
      </c>
      <c r="AB96" s="32">
        <f t="shared" si="255"/>
        <v>115.69749175042327</v>
      </c>
      <c r="AC96" s="32">
        <f t="shared" si="256"/>
        <v>112.65695773678328</v>
      </c>
      <c r="AD96" s="32">
        <f t="shared" si="257"/>
        <v>110.05698232030869</v>
      </c>
      <c r="AE96" s="32">
        <f t="shared" si="258"/>
        <v>107.85301344262044</v>
      </c>
      <c r="AF96" s="32">
        <f t="shared" si="259"/>
        <v>105.9963823844858</v>
      </c>
      <c r="AG96" s="32">
        <f t="shared" si="260"/>
        <v>104.4348270132852</v>
      </c>
      <c r="AH96" s="32">
        <f t="shared" si="261"/>
        <v>103.11304521014023</v>
      </c>
      <c r="AI96" s="32">
        <f t="shared" si="262"/>
        <v>101.97327325501593</v>
      </c>
      <c r="AJ96" s="32">
        <f t="shared" si="263"/>
        <v>100.95588403142661</v>
      </c>
      <c r="AK96" s="31">
        <f t="shared" si="141"/>
        <v>100</v>
      </c>
      <c r="AL96" s="55"/>
      <c r="AM96" s="22">
        <v>2.6666666666666668E-2</v>
      </c>
      <c r="AN96" s="18">
        <f t="shared" si="142"/>
        <v>-1076400000</v>
      </c>
      <c r="AO96" s="20">
        <f t="shared" si="143"/>
        <v>-1031755649.5310231</v>
      </c>
      <c r="AP96" s="20">
        <f t="shared" si="144"/>
        <v>-987342209.34313345</v>
      </c>
      <c r="AQ96" s="20">
        <f t="shared" si="145"/>
        <v>-943387890.61387265</v>
      </c>
      <c r="AR96" s="20">
        <f t="shared" si="146"/>
        <v>-900115543.37265611</v>
      </c>
      <c r="AS96" s="20">
        <f t="shared" si="147"/>
        <v>-857740067.83185947</v>
      </c>
      <c r="AT96" s="20">
        <f t="shared" si="148"/>
        <v>-816465933.94946396</v>
      </c>
      <c r="AU96" s="20">
        <f t="shared" si="149"/>
        <v>-776484841.9461925</v>
      </c>
      <c r="AV96" s="20">
        <f t="shared" si="150"/>
        <v>-737973553.76201749</v>
      </c>
      <c r="AW96" s="20">
        <f t="shared" si="151"/>
        <v>-701091922.1786834</v>
      </c>
      <c r="AX96" s="20">
        <f t="shared" si="152"/>
        <v>-665981140.65555549</v>
      </c>
      <c r="AY96" s="20">
        <f t="shared" si="153"/>
        <v>-632762232.93487549</v>
      </c>
      <c r="AZ96" s="20">
        <f t="shared" si="154"/>
        <v>-601534797.28413093</v>
      </c>
      <c r="BA96" s="20">
        <f t="shared" si="155"/>
        <v>-572376015.97358251</v>
      </c>
      <c r="BB96" s="20">
        <f t="shared" si="156"/>
        <v>-545339936.34832931</v>
      </c>
      <c r="BC96" s="20">
        <f t="shared" si="157"/>
        <v>-520457025.7513417</v>
      </c>
      <c r="BD96" s="20">
        <f t="shared" si="158"/>
        <v>-497733998.67997628</v>
      </c>
      <c r="BE96" s="20">
        <f t="shared" si="159"/>
        <v>-477153910.99254715</v>
      </c>
      <c r="BF96" s="20">
        <f t="shared" si="160"/>
        <v>-458676512.78582805</v>
      </c>
      <c r="BG96" s="20">
        <f t="shared" si="161"/>
        <v>-442238848.78297532</v>
      </c>
      <c r="BH96" s="20">
        <f t="shared" si="162"/>
        <v>-427756092.72961628</v>
      </c>
      <c r="BI96" s="20">
        <f t="shared" si="163"/>
        <v>-415122600.40051866</v>
      </c>
      <c r="BJ96" s="20">
        <f t="shared" si="164"/>
        <v>-404213164.35957843</v>
      </c>
      <c r="BK96" s="20">
        <f t="shared" si="165"/>
        <v>-394884452.56526756</v>
      </c>
      <c r="BL96" s="20">
        <f t="shared" si="166"/>
        <v>-386976612.23212212</v>
      </c>
      <c r="BM96" s="20">
        <f t="shared" si="167"/>
        <v>-380315019.99553502</v>
      </c>
      <c r="BN96" s="20">
        <f t="shared" si="168"/>
        <v>-374712159.32366729</v>
      </c>
      <c r="BO96" s="20">
        <f t="shared" si="169"/>
        <v>-369969606.21398306</v>
      </c>
      <c r="BP96" s="20">
        <f t="shared" si="170"/>
        <v>-365880104.43899709</v>
      </c>
      <c r="BQ96" s="20">
        <f t="shared" si="171"/>
        <v>-362229711.90475863</v>
      </c>
      <c r="BR96" s="18">
        <f t="shared" si="172"/>
        <v>-358800000</v>
      </c>
      <c r="BT96" s="52"/>
      <c r="BU96" s="22">
        <v>2.6666666666666668E-2</v>
      </c>
      <c r="BV96" s="18">
        <f t="shared" si="173"/>
        <v>0.40647234346137129</v>
      </c>
      <c r="BW96" s="20">
        <f t="shared" si="174"/>
        <v>0.40647234346137129</v>
      </c>
      <c r="BX96" s="20">
        <f t="shared" si="175"/>
        <v>0.40647234346137129</v>
      </c>
      <c r="BY96" s="20">
        <f t="shared" si="176"/>
        <v>0.40647234346137129</v>
      </c>
      <c r="BZ96" s="20">
        <f t="shared" si="177"/>
        <v>0.40647234346137129</v>
      </c>
      <c r="CA96" s="20">
        <f t="shared" si="178"/>
        <v>0.40647234346137129</v>
      </c>
      <c r="CB96" s="20">
        <f t="shared" si="179"/>
        <v>0.40647234346137129</v>
      </c>
      <c r="CC96" s="20">
        <f t="shared" si="180"/>
        <v>0.40647234346137129</v>
      </c>
      <c r="CD96" s="20">
        <f t="shared" si="181"/>
        <v>0.40647234346137129</v>
      </c>
      <c r="CE96" s="20">
        <f t="shared" si="182"/>
        <v>0.40647234346137129</v>
      </c>
      <c r="CF96" s="20">
        <f t="shared" si="183"/>
        <v>0.40647234346137129</v>
      </c>
      <c r="CG96" s="20">
        <f t="shared" si="184"/>
        <v>0.40647234346137129</v>
      </c>
      <c r="CH96" s="20">
        <f t="shared" si="185"/>
        <v>0.40647234346137129</v>
      </c>
      <c r="CI96" s="20">
        <f t="shared" si="186"/>
        <v>0.40647234346137129</v>
      </c>
      <c r="CJ96" s="20">
        <f t="shared" si="187"/>
        <v>0.40647234346137129</v>
      </c>
      <c r="CK96" s="20">
        <f t="shared" si="188"/>
        <v>0.40647234346137129</v>
      </c>
      <c r="CL96" s="20">
        <f t="shared" si="189"/>
        <v>0.40647234346137129</v>
      </c>
      <c r="CM96" s="20">
        <f t="shared" si="190"/>
        <v>0.40647234346137129</v>
      </c>
      <c r="CN96" s="20">
        <f t="shared" si="191"/>
        <v>0.40647234346137129</v>
      </c>
      <c r="CO96" s="20">
        <f t="shared" si="192"/>
        <v>0.40647234346137129</v>
      </c>
      <c r="CP96" s="20">
        <f t="shared" si="193"/>
        <v>0.40647234346137129</v>
      </c>
      <c r="CQ96" s="20">
        <f t="shared" si="194"/>
        <v>0.40647234346137129</v>
      </c>
      <c r="CR96" s="20">
        <f t="shared" si="195"/>
        <v>0.40647234346137129</v>
      </c>
      <c r="CS96" s="20">
        <f t="shared" si="196"/>
        <v>0.40647234346137129</v>
      </c>
      <c r="CT96" s="20">
        <f t="shared" si="197"/>
        <v>0.40647234346137129</v>
      </c>
      <c r="CU96" s="20">
        <f t="shared" si="198"/>
        <v>0.40647234346137129</v>
      </c>
      <c r="CV96" s="20">
        <f t="shared" si="199"/>
        <v>0.40647234346137129</v>
      </c>
      <c r="CW96" s="20">
        <f t="shared" si="200"/>
        <v>0.40647234346137129</v>
      </c>
      <c r="CX96" s="20">
        <f t="shared" si="201"/>
        <v>0.40647234346137129</v>
      </c>
      <c r="CY96" s="20">
        <f t="shared" si="202"/>
        <v>0.40647234346137129</v>
      </c>
      <c r="CZ96" s="18">
        <f t="shared" si="203"/>
        <v>0.40647234346137129</v>
      </c>
      <c r="DB96" s="52"/>
      <c r="DC96" s="22">
        <v>2.6666666666666668E-2</v>
      </c>
      <c r="DD96" s="18">
        <f t="shared" si="204"/>
        <v>178.05829696158864</v>
      </c>
      <c r="DE96" s="20">
        <f t="shared" si="205"/>
        <v>170.67321984020037</v>
      </c>
      <c r="DF96" s="20">
        <f t="shared" si="206"/>
        <v>163.3263399423362</v>
      </c>
      <c r="DG96" s="20">
        <f t="shared" si="207"/>
        <v>156.05540800528763</v>
      </c>
      <c r="DH96" s="20">
        <f t="shared" si="208"/>
        <v>148.89728792418256</v>
      </c>
      <c r="DI96" s="20">
        <f t="shared" si="209"/>
        <v>141.88752853387069</v>
      </c>
      <c r="DJ96" s="20">
        <f t="shared" si="210"/>
        <v>135.05995329449502</v>
      </c>
      <c r="DK96" s="20">
        <f t="shared" si="211"/>
        <v>128.44627329378235</v>
      </c>
      <c r="DL96" s="20">
        <f t="shared" si="212"/>
        <v>122.07572852615776</v>
      </c>
      <c r="DM96" s="20">
        <f t="shared" si="213"/>
        <v>115.97476186980956</v>
      </c>
      <c r="DN96" s="20">
        <f t="shared" si="214"/>
        <v>110.16672957419588</v>
      </c>
      <c r="DO96" s="20">
        <f t="shared" si="215"/>
        <v>104.67165141025268</v>
      </c>
      <c r="DP96" s="20">
        <f t="shared" si="216"/>
        <v>99.506002942722787</v>
      </c>
      <c r="DQ96" s="20">
        <f t="shared" si="217"/>
        <v>94.682551677736114</v>
      </c>
      <c r="DR96" s="20">
        <f t="shared" si="218"/>
        <v>90.210238137611157</v>
      </c>
      <c r="DS96" s="20">
        <f t="shared" si="219"/>
        <v>86.094102236136735</v>
      </c>
      <c r="DT96" s="20">
        <f t="shared" si="220"/>
        <v>82.335254686769034</v>
      </c>
      <c r="DU96" s="20">
        <f t="shared" si="221"/>
        <v>78.930892586300985</v>
      </c>
      <c r="DV96" s="20">
        <f t="shared" si="222"/>
        <v>75.874357787927238</v>
      </c>
      <c r="DW96" s="20">
        <f t="shared" si="223"/>
        <v>73.155236217530756</v>
      </c>
      <c r="DX96" s="20">
        <f t="shared" si="224"/>
        <v>70.759495899645898</v>
      </c>
      <c r="DY96" s="20">
        <f t="shared" si="225"/>
        <v>68.669661146026058</v>
      </c>
      <c r="DZ96" s="20">
        <f t="shared" si="226"/>
        <v>66.86502011828432</v>
      </c>
      <c r="EA96" s="20">
        <f t="shared" si="227"/>
        <v>65.321862802286105</v>
      </c>
      <c r="EB96" s="20">
        <f t="shared" si="228"/>
        <v>64.013746319227735</v>
      </c>
      <c r="EC96" s="20">
        <f t="shared" si="229"/>
        <v>62.911784438236246</v>
      </c>
      <c r="ED96" s="20">
        <f t="shared" si="230"/>
        <v>61.984958138212249</v>
      </c>
      <c r="EE96" s="20">
        <f t="shared" si="231"/>
        <v>61.200444082136201</v>
      </c>
      <c r="EF96" s="20">
        <f t="shared" si="232"/>
        <v>60.523957904622826</v>
      </c>
      <c r="EG96" s="20">
        <f t="shared" si="233"/>
        <v>59.920109262958206</v>
      </c>
      <c r="EH96" s="18">
        <f t="shared" si="234"/>
        <v>59.352765653862882</v>
      </c>
    </row>
    <row r="97" spans="5:138" x14ac:dyDescent="0.3">
      <c r="E97" s="54"/>
      <c r="F97" s="22">
        <v>2.3333333333333334E-2</v>
      </c>
      <c r="G97" s="31">
        <f t="shared" si="139"/>
        <v>300</v>
      </c>
      <c r="H97" s="32">
        <f t="shared" si="235"/>
        <v>287.55731592280472</v>
      </c>
      <c r="I97" s="32">
        <f t="shared" si="236"/>
        <v>275.17898811124127</v>
      </c>
      <c r="J97" s="32">
        <f t="shared" si="237"/>
        <v>262.92862057242826</v>
      </c>
      <c r="K97" s="32">
        <f t="shared" si="238"/>
        <v>250.86832312504356</v>
      </c>
      <c r="L97" s="32">
        <f t="shared" si="239"/>
        <v>239.05798991969328</v>
      </c>
      <c r="M97" s="32">
        <f t="shared" si="240"/>
        <v>227.55460812415382</v>
      </c>
      <c r="N97" s="32">
        <f t="shared" si="241"/>
        <v>216.41160589358765</v>
      </c>
      <c r="O97" s="32">
        <f t="shared" si="242"/>
        <v>205.67824798272511</v>
      </c>
      <c r="P97" s="32">
        <f t="shared" si="243"/>
        <v>195.39908644890846</v>
      </c>
      <c r="Q97" s="32">
        <f t="shared" si="244"/>
        <v>185.61347286944138</v>
      </c>
      <c r="R97" s="32">
        <f t="shared" si="245"/>
        <v>176.35513738430203</v>
      </c>
      <c r="S97" s="32">
        <f t="shared" si="246"/>
        <v>167.65183870795175</v>
      </c>
      <c r="T97" s="32">
        <f t="shared" si="247"/>
        <v>159.52508806398623</v>
      </c>
      <c r="U97" s="32">
        <f t="shared" si="248"/>
        <v>151.98994881503046</v>
      </c>
      <c r="V97" s="32">
        <f t="shared" si="249"/>
        <v>145.05491241676191</v>
      </c>
      <c r="W97" s="32">
        <f t="shared" si="250"/>
        <v>138.72185024525538</v>
      </c>
      <c r="X97" s="32">
        <f t="shared" si="251"/>
        <v>132.9860398529953</v>
      </c>
      <c r="Y97" s="32">
        <f t="shared" si="252"/>
        <v>127.83626331823527</v>
      </c>
      <c r="Z97" s="32">
        <f t="shared" si="253"/>
        <v>123.2549745771949</v>
      </c>
      <c r="AA97" s="32">
        <f t="shared" si="254"/>
        <v>119.21853197592426</v>
      </c>
      <c r="AB97" s="32">
        <f t="shared" si="255"/>
        <v>115.69749175042327</v>
      </c>
      <c r="AC97" s="32">
        <f t="shared" si="256"/>
        <v>112.65695773678328</v>
      </c>
      <c r="AD97" s="32">
        <f t="shared" si="257"/>
        <v>110.05698232030869</v>
      </c>
      <c r="AE97" s="32">
        <f t="shared" si="258"/>
        <v>107.85301344262045</v>
      </c>
      <c r="AF97" s="32">
        <f t="shared" si="259"/>
        <v>105.9963823844858</v>
      </c>
      <c r="AG97" s="32">
        <f t="shared" si="260"/>
        <v>104.4348270132852</v>
      </c>
      <c r="AH97" s="32">
        <f t="shared" si="261"/>
        <v>103.11304521014023</v>
      </c>
      <c r="AI97" s="32">
        <f t="shared" si="262"/>
        <v>101.97327325501593</v>
      </c>
      <c r="AJ97" s="32">
        <f t="shared" si="263"/>
        <v>100.95588403142662</v>
      </c>
      <c r="AK97" s="31">
        <f t="shared" si="141"/>
        <v>100</v>
      </c>
      <c r="AL97" s="55"/>
      <c r="AM97" s="22">
        <v>2.3333333333333334E-2</v>
      </c>
      <c r="AN97" s="18">
        <f t="shared" si="142"/>
        <v>-1076400000</v>
      </c>
      <c r="AO97" s="20">
        <f t="shared" si="143"/>
        <v>-1031755649.5310234</v>
      </c>
      <c r="AP97" s="20">
        <f t="shared" si="144"/>
        <v>-987342209.34313345</v>
      </c>
      <c r="AQ97" s="20">
        <f t="shared" si="145"/>
        <v>-943387890.61387265</v>
      </c>
      <c r="AR97" s="20">
        <f t="shared" si="146"/>
        <v>-900115543.37265611</v>
      </c>
      <c r="AS97" s="20">
        <f t="shared" si="147"/>
        <v>-857740067.83185947</v>
      </c>
      <c r="AT97" s="20">
        <f t="shared" si="148"/>
        <v>-816465933.94946396</v>
      </c>
      <c r="AU97" s="20">
        <f t="shared" si="149"/>
        <v>-776484841.9461925</v>
      </c>
      <c r="AV97" s="20">
        <f t="shared" si="150"/>
        <v>-737973553.76201761</v>
      </c>
      <c r="AW97" s="20">
        <f t="shared" si="151"/>
        <v>-701091922.17868352</v>
      </c>
      <c r="AX97" s="20">
        <f t="shared" si="152"/>
        <v>-665981140.65555561</v>
      </c>
      <c r="AY97" s="20">
        <f t="shared" si="153"/>
        <v>-632762232.93487561</v>
      </c>
      <c r="AZ97" s="20">
        <f t="shared" si="154"/>
        <v>-601534797.28413093</v>
      </c>
      <c r="BA97" s="20">
        <f t="shared" si="155"/>
        <v>-572376015.97358251</v>
      </c>
      <c r="BB97" s="20">
        <f t="shared" si="156"/>
        <v>-545339936.34832931</v>
      </c>
      <c r="BC97" s="20">
        <f t="shared" si="157"/>
        <v>-520457025.7513417</v>
      </c>
      <c r="BD97" s="20">
        <f t="shared" si="158"/>
        <v>-497733998.67997628</v>
      </c>
      <c r="BE97" s="20">
        <f t="shared" si="159"/>
        <v>-477153910.99254715</v>
      </c>
      <c r="BF97" s="20">
        <f t="shared" si="160"/>
        <v>-458676512.78582805</v>
      </c>
      <c r="BG97" s="20">
        <f t="shared" si="161"/>
        <v>-442238848.78297532</v>
      </c>
      <c r="BH97" s="20">
        <f t="shared" si="162"/>
        <v>-427756092.72961628</v>
      </c>
      <c r="BI97" s="20">
        <f t="shared" si="163"/>
        <v>-415122600.40051866</v>
      </c>
      <c r="BJ97" s="20">
        <f t="shared" si="164"/>
        <v>-404213164.35957843</v>
      </c>
      <c r="BK97" s="20">
        <f t="shared" si="165"/>
        <v>-394884452.56526756</v>
      </c>
      <c r="BL97" s="20">
        <f t="shared" si="166"/>
        <v>-386976612.23212212</v>
      </c>
      <c r="BM97" s="20">
        <f t="shared" si="167"/>
        <v>-380315019.99553502</v>
      </c>
      <c r="BN97" s="20">
        <f t="shared" si="168"/>
        <v>-374712159.32366729</v>
      </c>
      <c r="BO97" s="20">
        <f t="shared" si="169"/>
        <v>-369969606.21398306</v>
      </c>
      <c r="BP97" s="20">
        <f t="shared" si="170"/>
        <v>-365880104.43899709</v>
      </c>
      <c r="BQ97" s="20">
        <f t="shared" si="171"/>
        <v>-362229711.90475863</v>
      </c>
      <c r="BR97" s="18">
        <f t="shared" si="172"/>
        <v>-358800000</v>
      </c>
      <c r="BT97" s="52"/>
      <c r="BU97" s="22">
        <v>2.3333333333333334E-2</v>
      </c>
      <c r="BV97" s="18">
        <f t="shared" si="173"/>
        <v>0.40647468537622489</v>
      </c>
      <c r="BW97" s="20">
        <f t="shared" si="174"/>
        <v>0.40647468537622489</v>
      </c>
      <c r="BX97" s="20">
        <f t="shared" si="175"/>
        <v>0.40647468537622489</v>
      </c>
      <c r="BY97" s="20">
        <f t="shared" si="176"/>
        <v>0.40647468537622489</v>
      </c>
      <c r="BZ97" s="20">
        <f t="shared" si="177"/>
        <v>0.40647468537622489</v>
      </c>
      <c r="CA97" s="20">
        <f t="shared" si="178"/>
        <v>0.40647468537622489</v>
      </c>
      <c r="CB97" s="20">
        <f t="shared" si="179"/>
        <v>0.40647468537622489</v>
      </c>
      <c r="CC97" s="20">
        <f t="shared" si="180"/>
        <v>0.40647468537622489</v>
      </c>
      <c r="CD97" s="20">
        <f t="shared" si="181"/>
        <v>0.40647468537622489</v>
      </c>
      <c r="CE97" s="20">
        <f t="shared" si="182"/>
        <v>0.40647468537622489</v>
      </c>
      <c r="CF97" s="20">
        <f t="shared" si="183"/>
        <v>0.40647468537622489</v>
      </c>
      <c r="CG97" s="20">
        <f t="shared" si="184"/>
        <v>0.40647468537622489</v>
      </c>
      <c r="CH97" s="20">
        <f t="shared" si="185"/>
        <v>0.40647468537622489</v>
      </c>
      <c r="CI97" s="20">
        <f t="shared" si="186"/>
        <v>0.40647468537622489</v>
      </c>
      <c r="CJ97" s="20">
        <f t="shared" si="187"/>
        <v>0.40647468537622489</v>
      </c>
      <c r="CK97" s="20">
        <f t="shared" si="188"/>
        <v>0.40647468537622489</v>
      </c>
      <c r="CL97" s="20">
        <f t="shared" si="189"/>
        <v>0.40647468537622489</v>
      </c>
      <c r="CM97" s="20">
        <f t="shared" si="190"/>
        <v>0.40647468537622489</v>
      </c>
      <c r="CN97" s="20">
        <f t="shared" si="191"/>
        <v>0.40647468537622489</v>
      </c>
      <c r="CO97" s="20">
        <f t="shared" si="192"/>
        <v>0.40647468537622489</v>
      </c>
      <c r="CP97" s="20">
        <f t="shared" si="193"/>
        <v>0.40647468537622489</v>
      </c>
      <c r="CQ97" s="20">
        <f t="shared" si="194"/>
        <v>0.40647468537622489</v>
      </c>
      <c r="CR97" s="20">
        <f t="shared" si="195"/>
        <v>0.40647468537622489</v>
      </c>
      <c r="CS97" s="20">
        <f t="shared" si="196"/>
        <v>0.40647468537622489</v>
      </c>
      <c r="CT97" s="20">
        <f t="shared" si="197"/>
        <v>0.40647468537622489</v>
      </c>
      <c r="CU97" s="20">
        <f t="shared" si="198"/>
        <v>0.40647468537622489</v>
      </c>
      <c r="CV97" s="20">
        <f t="shared" si="199"/>
        <v>0.40647468537622489</v>
      </c>
      <c r="CW97" s="20">
        <f t="shared" si="200"/>
        <v>0.40647468537622489</v>
      </c>
      <c r="CX97" s="20">
        <f t="shared" si="201"/>
        <v>0.40647468537622489</v>
      </c>
      <c r="CY97" s="20">
        <f t="shared" si="202"/>
        <v>0.40647468537622489</v>
      </c>
      <c r="CZ97" s="18">
        <f t="shared" si="203"/>
        <v>0.40647468537622489</v>
      </c>
      <c r="DB97" s="52"/>
      <c r="DC97" s="22">
        <v>2.3333333333333334E-2</v>
      </c>
      <c r="DD97" s="18">
        <f t="shared" si="204"/>
        <v>178.05759438713258</v>
      </c>
      <c r="DE97" s="20">
        <f t="shared" si="205"/>
        <v>170.67254640545099</v>
      </c>
      <c r="DF97" s="20">
        <f t="shared" si="206"/>
        <v>163.32569549657654</v>
      </c>
      <c r="DG97" s="20">
        <f t="shared" si="207"/>
        <v>156.0547922488457</v>
      </c>
      <c r="DH97" s="20">
        <f t="shared" si="208"/>
        <v>148.89670041193037</v>
      </c>
      <c r="DI97" s="20">
        <f t="shared" si="209"/>
        <v>141.88696868041322</v>
      </c>
      <c r="DJ97" s="20">
        <f t="shared" si="210"/>
        <v>135.05942038097825</v>
      </c>
      <c r="DK97" s="20">
        <f t="shared" si="211"/>
        <v>128.44576647622804</v>
      </c>
      <c r="DL97" s="20">
        <f t="shared" si="212"/>
        <v>122.07524684521377</v>
      </c>
      <c r="DM97" s="20">
        <f t="shared" si="213"/>
        <v>115.97430426178664</v>
      </c>
      <c r="DN97" s="20">
        <f t="shared" si="214"/>
        <v>110.16629488324675</v>
      </c>
      <c r="DO97" s="20">
        <f t="shared" si="215"/>
        <v>104.67123840153695</v>
      </c>
      <c r="DP97" s="20">
        <f t="shared" si="216"/>
        <v>99.505610316391483</v>
      </c>
      <c r="DQ97" s="20">
        <f t="shared" si="217"/>
        <v>94.68217808356286</v>
      </c>
      <c r="DR97" s="20">
        <f t="shared" si="218"/>
        <v>90.209882190092443</v>
      </c>
      <c r="DS97" s="20">
        <f t="shared" si="219"/>
        <v>86.093762529882767</v>
      </c>
      <c r="DT97" s="20">
        <f t="shared" si="220"/>
        <v>82.334929812007431</v>
      </c>
      <c r="DU97" s="20">
        <f t="shared" si="221"/>
        <v>78.93058114431895</v>
      </c>
      <c r="DV97" s="20">
        <f t="shared" si="222"/>
        <v>75.874058406283339</v>
      </c>
      <c r="DW97" s="20">
        <f t="shared" si="223"/>
        <v>73.154947564875016</v>
      </c>
      <c r="DX97" s="20">
        <f t="shared" si="224"/>
        <v>70.759216699995051</v>
      </c>
      <c r="DY97" s="20">
        <f t="shared" si="225"/>
        <v>68.669390192351599</v>
      </c>
      <c r="DZ97" s="20">
        <f t="shared" si="226"/>
        <v>66.864756285281643</v>
      </c>
      <c r="EA97" s="20">
        <f t="shared" si="227"/>
        <v>65.321605058204469</v>
      </c>
      <c r="EB97" s="20">
        <f t="shared" si="228"/>
        <v>64.013493736653558</v>
      </c>
      <c r="EC97" s="20">
        <f t="shared" si="229"/>
        <v>62.911536203733917</v>
      </c>
      <c r="ED97" s="20">
        <f t="shared" si="230"/>
        <v>61.984713560739635</v>
      </c>
      <c r="EE97" s="20">
        <f t="shared" si="231"/>
        <v>61.200202600164033</v>
      </c>
      <c r="EF97" s="20">
        <f t="shared" si="232"/>
        <v>60.523719091899522</v>
      </c>
      <c r="EG97" s="20">
        <f t="shared" si="233"/>
        <v>59.919872832873835</v>
      </c>
      <c r="EH97" s="18">
        <f t="shared" si="234"/>
        <v>59.35253146237752</v>
      </c>
    </row>
    <row r="98" spans="5:138" x14ac:dyDescent="0.3">
      <c r="E98" s="54"/>
      <c r="F98" s="22">
        <v>0.02</v>
      </c>
      <c r="G98" s="31">
        <f t="shared" si="139"/>
        <v>300</v>
      </c>
      <c r="H98" s="32">
        <f t="shared" si="235"/>
        <v>287.55731592280472</v>
      </c>
      <c r="I98" s="32">
        <f t="shared" si="236"/>
        <v>275.17898811124121</v>
      </c>
      <c r="J98" s="32">
        <f t="shared" si="237"/>
        <v>262.92862057242826</v>
      </c>
      <c r="K98" s="32">
        <f t="shared" si="238"/>
        <v>250.86832312504356</v>
      </c>
      <c r="L98" s="32">
        <f t="shared" si="239"/>
        <v>239.05798991969328</v>
      </c>
      <c r="M98" s="32">
        <f t="shared" si="240"/>
        <v>227.55460812415384</v>
      </c>
      <c r="N98" s="32">
        <f t="shared" si="241"/>
        <v>216.41160589358765</v>
      </c>
      <c r="O98" s="32">
        <f t="shared" si="242"/>
        <v>205.67824798272511</v>
      </c>
      <c r="P98" s="32">
        <f t="shared" si="243"/>
        <v>195.39908644890846</v>
      </c>
      <c r="Q98" s="32">
        <f t="shared" si="244"/>
        <v>185.61347286944138</v>
      </c>
      <c r="R98" s="32">
        <f t="shared" si="245"/>
        <v>176.35513738430203</v>
      </c>
      <c r="S98" s="32">
        <f t="shared" si="246"/>
        <v>167.65183870795175</v>
      </c>
      <c r="T98" s="32">
        <f t="shared" si="247"/>
        <v>159.52508806398623</v>
      </c>
      <c r="U98" s="32">
        <f t="shared" si="248"/>
        <v>151.98994881503046</v>
      </c>
      <c r="V98" s="32">
        <f t="shared" si="249"/>
        <v>145.05491241676191</v>
      </c>
      <c r="W98" s="32">
        <f t="shared" si="250"/>
        <v>138.72185024525538</v>
      </c>
      <c r="X98" s="32">
        <f t="shared" si="251"/>
        <v>132.9860398529953</v>
      </c>
      <c r="Y98" s="32">
        <f t="shared" si="252"/>
        <v>127.83626331823527</v>
      </c>
      <c r="Z98" s="32">
        <f t="shared" si="253"/>
        <v>123.2549745771949</v>
      </c>
      <c r="AA98" s="32">
        <f t="shared" si="254"/>
        <v>119.21853197592428</v>
      </c>
      <c r="AB98" s="32">
        <f t="shared" si="255"/>
        <v>115.69749175042327</v>
      </c>
      <c r="AC98" s="32">
        <f t="shared" si="256"/>
        <v>112.6569577367833</v>
      </c>
      <c r="AD98" s="32">
        <f t="shared" si="257"/>
        <v>110.05698232030869</v>
      </c>
      <c r="AE98" s="32">
        <f t="shared" si="258"/>
        <v>107.85301344262044</v>
      </c>
      <c r="AF98" s="32">
        <f t="shared" si="259"/>
        <v>105.9963823844858</v>
      </c>
      <c r="AG98" s="32">
        <f t="shared" si="260"/>
        <v>104.4348270132852</v>
      </c>
      <c r="AH98" s="32">
        <f t="shared" si="261"/>
        <v>103.11304521014023</v>
      </c>
      <c r="AI98" s="32">
        <f t="shared" si="262"/>
        <v>101.97327325501593</v>
      </c>
      <c r="AJ98" s="32">
        <f t="shared" si="263"/>
        <v>100.95588403142661</v>
      </c>
      <c r="AK98" s="31">
        <f t="shared" si="141"/>
        <v>100</v>
      </c>
      <c r="AL98" s="55"/>
      <c r="AM98" s="22">
        <v>0.02</v>
      </c>
      <c r="AN98" s="18">
        <f t="shared" si="142"/>
        <v>-1076400000</v>
      </c>
      <c r="AO98" s="20">
        <f t="shared" si="143"/>
        <v>-1031755649.5310231</v>
      </c>
      <c r="AP98" s="20">
        <f t="shared" si="144"/>
        <v>-987342209.34313345</v>
      </c>
      <c r="AQ98" s="20">
        <f t="shared" si="145"/>
        <v>-943387890.61387265</v>
      </c>
      <c r="AR98" s="20">
        <f t="shared" si="146"/>
        <v>-900115543.37265611</v>
      </c>
      <c r="AS98" s="20">
        <f t="shared" si="147"/>
        <v>-857740067.83185947</v>
      </c>
      <c r="AT98" s="20">
        <f t="shared" si="148"/>
        <v>-816465933.94946396</v>
      </c>
      <c r="AU98" s="20">
        <f t="shared" si="149"/>
        <v>-776484841.9461925</v>
      </c>
      <c r="AV98" s="20">
        <f t="shared" si="150"/>
        <v>-737973553.76201761</v>
      </c>
      <c r="AW98" s="20">
        <f t="shared" si="151"/>
        <v>-701091922.17868352</v>
      </c>
      <c r="AX98" s="20">
        <f t="shared" si="152"/>
        <v>-665981140.65555561</v>
      </c>
      <c r="AY98" s="20">
        <f t="shared" si="153"/>
        <v>-632762232.93487561</v>
      </c>
      <c r="AZ98" s="20">
        <f t="shared" si="154"/>
        <v>-601534797.28413093</v>
      </c>
      <c r="BA98" s="20">
        <f t="shared" si="155"/>
        <v>-572376015.97358263</v>
      </c>
      <c r="BB98" s="20">
        <f t="shared" si="156"/>
        <v>-545339936.34832931</v>
      </c>
      <c r="BC98" s="20">
        <f t="shared" si="157"/>
        <v>-520457025.7513417</v>
      </c>
      <c r="BD98" s="20">
        <f t="shared" si="158"/>
        <v>-497733998.67997628</v>
      </c>
      <c r="BE98" s="20">
        <f t="shared" si="159"/>
        <v>-477153910.99254715</v>
      </c>
      <c r="BF98" s="20">
        <f t="shared" si="160"/>
        <v>-458676512.78582811</v>
      </c>
      <c r="BG98" s="20">
        <f t="shared" si="161"/>
        <v>-442238848.78297538</v>
      </c>
      <c r="BH98" s="20">
        <f t="shared" si="162"/>
        <v>-427756092.72961628</v>
      </c>
      <c r="BI98" s="20">
        <f t="shared" si="163"/>
        <v>-415122600.40051866</v>
      </c>
      <c r="BJ98" s="20">
        <f t="shared" si="164"/>
        <v>-404213164.35957843</v>
      </c>
      <c r="BK98" s="20">
        <f t="shared" si="165"/>
        <v>-394884452.56526756</v>
      </c>
      <c r="BL98" s="20">
        <f t="shared" si="166"/>
        <v>-386976612.23212212</v>
      </c>
      <c r="BM98" s="20">
        <f t="shared" si="167"/>
        <v>-380315019.99553502</v>
      </c>
      <c r="BN98" s="20">
        <f t="shared" si="168"/>
        <v>-374712159.32366729</v>
      </c>
      <c r="BO98" s="20">
        <f t="shared" si="169"/>
        <v>-369969606.21398306</v>
      </c>
      <c r="BP98" s="20">
        <f t="shared" si="170"/>
        <v>-365880104.43899709</v>
      </c>
      <c r="BQ98" s="20">
        <f t="shared" si="171"/>
        <v>-362229711.90475863</v>
      </c>
      <c r="BR98" s="18">
        <f t="shared" si="172"/>
        <v>-358800000</v>
      </c>
      <c r="BT98" s="52"/>
      <c r="BU98" s="22">
        <v>0.02</v>
      </c>
      <c r="BV98" s="18">
        <f t="shared" si="173"/>
        <v>0.40648885983862293</v>
      </c>
      <c r="BW98" s="20">
        <f t="shared" si="174"/>
        <v>0.40648885983862293</v>
      </c>
      <c r="BX98" s="20">
        <f t="shared" si="175"/>
        <v>0.40648885983862293</v>
      </c>
      <c r="BY98" s="20">
        <f t="shared" si="176"/>
        <v>0.40648885983862293</v>
      </c>
      <c r="BZ98" s="20">
        <f t="shared" si="177"/>
        <v>0.40648885983862293</v>
      </c>
      <c r="CA98" s="20">
        <f t="shared" si="178"/>
        <v>0.40648885983862293</v>
      </c>
      <c r="CB98" s="20">
        <f t="shared" si="179"/>
        <v>0.40648885983862293</v>
      </c>
      <c r="CC98" s="20">
        <f t="shared" si="180"/>
        <v>0.40648885983862293</v>
      </c>
      <c r="CD98" s="20">
        <f t="shared" si="181"/>
        <v>0.40648885983862293</v>
      </c>
      <c r="CE98" s="20">
        <f t="shared" si="182"/>
        <v>0.40648885983862293</v>
      </c>
      <c r="CF98" s="20">
        <f t="shared" si="183"/>
        <v>0.40648885983862293</v>
      </c>
      <c r="CG98" s="20">
        <f t="shared" si="184"/>
        <v>0.40648885983862293</v>
      </c>
      <c r="CH98" s="20">
        <f t="shared" si="185"/>
        <v>0.40648885983862293</v>
      </c>
      <c r="CI98" s="20">
        <f t="shared" si="186"/>
        <v>0.40648885983862293</v>
      </c>
      <c r="CJ98" s="20">
        <f t="shared" si="187"/>
        <v>0.40648885983862293</v>
      </c>
      <c r="CK98" s="20">
        <f t="shared" si="188"/>
        <v>0.40648885983862293</v>
      </c>
      <c r="CL98" s="20">
        <f t="shared" si="189"/>
        <v>0.40648885983862293</v>
      </c>
      <c r="CM98" s="20">
        <f t="shared" si="190"/>
        <v>0.40648885983862293</v>
      </c>
      <c r="CN98" s="20">
        <f t="shared" si="191"/>
        <v>0.40648885983862293</v>
      </c>
      <c r="CO98" s="20">
        <f t="shared" si="192"/>
        <v>0.40648885983862293</v>
      </c>
      <c r="CP98" s="20">
        <f t="shared" si="193"/>
        <v>0.40648885983862293</v>
      </c>
      <c r="CQ98" s="20">
        <f t="shared" si="194"/>
        <v>0.40648885983862293</v>
      </c>
      <c r="CR98" s="20">
        <f t="shared" si="195"/>
        <v>0.40648885983862293</v>
      </c>
      <c r="CS98" s="20">
        <f t="shared" si="196"/>
        <v>0.40648885983862293</v>
      </c>
      <c r="CT98" s="20">
        <f t="shared" si="197"/>
        <v>0.40648885983862293</v>
      </c>
      <c r="CU98" s="20">
        <f t="shared" si="198"/>
        <v>0.40648885983862293</v>
      </c>
      <c r="CV98" s="20">
        <f t="shared" si="199"/>
        <v>0.40648885983862293</v>
      </c>
      <c r="CW98" s="20">
        <f t="shared" si="200"/>
        <v>0.40648885983862293</v>
      </c>
      <c r="CX98" s="20">
        <f t="shared" si="201"/>
        <v>0.40648885983862293</v>
      </c>
      <c r="CY98" s="20">
        <f t="shared" si="202"/>
        <v>0.40648885983862293</v>
      </c>
      <c r="CZ98" s="18">
        <f t="shared" si="203"/>
        <v>0.40648885983862293</v>
      </c>
      <c r="DB98" s="52"/>
      <c r="DC98" s="22">
        <v>0.02</v>
      </c>
      <c r="DD98" s="18">
        <f t="shared" si="204"/>
        <v>178.05334204841316</v>
      </c>
      <c r="DE98" s="20">
        <f t="shared" si="205"/>
        <v>170.66847043508912</v>
      </c>
      <c r="DF98" s="20">
        <f t="shared" si="206"/>
        <v>163.32179498235681</v>
      </c>
      <c r="DG98" s="20">
        <f t="shared" si="207"/>
        <v>156.05106537700001</v>
      </c>
      <c r="DH98" s="20">
        <f t="shared" si="208"/>
        <v>148.89314448831735</v>
      </c>
      <c r="DI98" s="20">
        <f t="shared" si="209"/>
        <v>141.88358016192413</v>
      </c>
      <c r="DJ98" s="20">
        <f t="shared" si="210"/>
        <v>135.0561949167419</v>
      </c>
      <c r="DK98" s="20">
        <f t="shared" si="211"/>
        <v>128.4426989580578</v>
      </c>
      <c r="DL98" s="20">
        <f t="shared" si="212"/>
        <v>122.07233146662163</v>
      </c>
      <c r="DM98" s="20">
        <f t="shared" si="213"/>
        <v>115.97153458478314</v>
      </c>
      <c r="DN98" s="20">
        <f t="shared" si="214"/>
        <v>110.16366391205499</v>
      </c>
      <c r="DO98" s="20">
        <f t="shared" si="215"/>
        <v>104.66873866227338</v>
      </c>
      <c r="DP98" s="20">
        <f t="shared" si="216"/>
        <v>99.503233941707748</v>
      </c>
      <c r="DQ98" s="20">
        <f t="shared" si="217"/>
        <v>94.679916901200556</v>
      </c>
      <c r="DR98" s="20">
        <f t="shared" si="218"/>
        <v>90.207727814278073</v>
      </c>
      <c r="DS98" s="20">
        <f t="shared" si="219"/>
        <v>86.091706454481056</v>
      </c>
      <c r="DT98" s="20">
        <f t="shared" si="220"/>
        <v>82.332963504357338</v>
      </c>
      <c r="DU98" s="20">
        <f t="shared" si="221"/>
        <v>78.928696138697575</v>
      </c>
      <c r="DV98" s="20">
        <f t="shared" si="222"/>
        <v>75.872246395975836</v>
      </c>
      <c r="DW98" s="20">
        <f t="shared" si="223"/>
        <v>73.153200491872497</v>
      </c>
      <c r="DX98" s="20">
        <f t="shared" si="224"/>
        <v>70.757526841396412</v>
      </c>
      <c r="DY98" s="20">
        <f t="shared" si="225"/>
        <v>68.667750242605237</v>
      </c>
      <c r="DZ98" s="20">
        <f t="shared" si="226"/>
        <v>66.863159433470329</v>
      </c>
      <c r="EA98" s="20">
        <f t="shared" si="227"/>
        <v>65.32004505964693</v>
      </c>
      <c r="EB98" s="20">
        <f t="shared" si="228"/>
        <v>64.011964978169985</v>
      </c>
      <c r="EC98" s="20">
        <f t="shared" si="229"/>
        <v>62.910033761997475</v>
      </c>
      <c r="ED98" s="20">
        <f t="shared" si="230"/>
        <v>61.98323325321109</v>
      </c>
      <c r="EE98" s="20">
        <f t="shared" si="231"/>
        <v>61.198741028181942</v>
      </c>
      <c r="EF98" s="20">
        <f t="shared" si="232"/>
        <v>60.522273675572151</v>
      </c>
      <c r="EG98" s="20">
        <f t="shared" si="233"/>
        <v>59.918441837491763</v>
      </c>
      <c r="EH98" s="18">
        <f t="shared" si="234"/>
        <v>59.351114016137714</v>
      </c>
    </row>
    <row r="99" spans="5:138" x14ac:dyDescent="0.3">
      <c r="E99" s="54"/>
      <c r="F99" s="22">
        <v>1.6666666666666666E-2</v>
      </c>
      <c r="G99" s="31">
        <f t="shared" si="139"/>
        <v>300</v>
      </c>
      <c r="H99" s="32">
        <f t="shared" si="235"/>
        <v>287.55731592280472</v>
      </c>
      <c r="I99" s="32">
        <f t="shared" si="236"/>
        <v>275.17898811124121</v>
      </c>
      <c r="J99" s="32">
        <f t="shared" si="237"/>
        <v>262.9286205724282</v>
      </c>
      <c r="K99" s="32">
        <f t="shared" si="238"/>
        <v>250.8683231250435</v>
      </c>
      <c r="L99" s="32">
        <f t="shared" si="239"/>
        <v>239.05798991969323</v>
      </c>
      <c r="M99" s="32">
        <f t="shared" si="240"/>
        <v>227.55460812415382</v>
      </c>
      <c r="N99" s="32">
        <f t="shared" si="241"/>
        <v>216.41160589358765</v>
      </c>
      <c r="O99" s="32">
        <f t="shared" si="242"/>
        <v>205.67824798272508</v>
      </c>
      <c r="P99" s="32">
        <f t="shared" si="243"/>
        <v>195.39908644890843</v>
      </c>
      <c r="Q99" s="32">
        <f t="shared" si="244"/>
        <v>185.61347286944135</v>
      </c>
      <c r="R99" s="32">
        <f t="shared" si="245"/>
        <v>176.35513738430203</v>
      </c>
      <c r="S99" s="32">
        <f t="shared" si="246"/>
        <v>167.65183870795175</v>
      </c>
      <c r="T99" s="32">
        <f t="shared" si="247"/>
        <v>159.52508806398623</v>
      </c>
      <c r="U99" s="32">
        <f t="shared" si="248"/>
        <v>151.98994881503046</v>
      </c>
      <c r="V99" s="32">
        <f t="shared" si="249"/>
        <v>145.05491241676191</v>
      </c>
      <c r="W99" s="32">
        <f t="shared" si="250"/>
        <v>138.72185024525538</v>
      </c>
      <c r="X99" s="32">
        <f t="shared" si="251"/>
        <v>132.9860398529953</v>
      </c>
      <c r="Y99" s="32">
        <f t="shared" si="252"/>
        <v>127.83626331823527</v>
      </c>
      <c r="Z99" s="32">
        <f t="shared" si="253"/>
        <v>123.2549745771949</v>
      </c>
      <c r="AA99" s="32">
        <f t="shared" si="254"/>
        <v>119.21853197592426</v>
      </c>
      <c r="AB99" s="32">
        <f t="shared" si="255"/>
        <v>115.69749175042327</v>
      </c>
      <c r="AC99" s="32">
        <f t="shared" si="256"/>
        <v>112.65695773678331</v>
      </c>
      <c r="AD99" s="32">
        <f t="shared" si="257"/>
        <v>110.05698232030869</v>
      </c>
      <c r="AE99" s="32">
        <f t="shared" si="258"/>
        <v>107.85301344262044</v>
      </c>
      <c r="AF99" s="32">
        <f t="shared" si="259"/>
        <v>105.9963823844858</v>
      </c>
      <c r="AG99" s="32">
        <f t="shared" si="260"/>
        <v>104.4348270132852</v>
      </c>
      <c r="AH99" s="32">
        <f t="shared" si="261"/>
        <v>103.11304521014023</v>
      </c>
      <c r="AI99" s="32">
        <f t="shared" si="262"/>
        <v>101.97327325501593</v>
      </c>
      <c r="AJ99" s="32">
        <f t="shared" si="263"/>
        <v>100.95588403142661</v>
      </c>
      <c r="AK99" s="31">
        <f t="shared" si="141"/>
        <v>100</v>
      </c>
      <c r="AL99" s="55"/>
      <c r="AM99" s="22">
        <v>1.6666666666666666E-2</v>
      </c>
      <c r="AN99" s="18">
        <f t="shared" si="142"/>
        <v>-1076400000</v>
      </c>
      <c r="AO99" s="20">
        <f t="shared" si="143"/>
        <v>-1031755649.5310231</v>
      </c>
      <c r="AP99" s="20">
        <f t="shared" si="144"/>
        <v>-987342209.34313321</v>
      </c>
      <c r="AQ99" s="20">
        <f t="shared" si="145"/>
        <v>-943387890.61387217</v>
      </c>
      <c r="AR99" s="20">
        <f t="shared" si="146"/>
        <v>-900115543.37265587</v>
      </c>
      <c r="AS99" s="20">
        <f t="shared" si="147"/>
        <v>-857740067.83185935</v>
      </c>
      <c r="AT99" s="20">
        <f t="shared" si="148"/>
        <v>-816465933.94946384</v>
      </c>
      <c r="AU99" s="20">
        <f t="shared" si="149"/>
        <v>-776484841.9461925</v>
      </c>
      <c r="AV99" s="20">
        <f t="shared" si="150"/>
        <v>-737973553.76201749</v>
      </c>
      <c r="AW99" s="20">
        <f t="shared" si="151"/>
        <v>-701091922.1786834</v>
      </c>
      <c r="AX99" s="20">
        <f t="shared" si="152"/>
        <v>-665981140.65555561</v>
      </c>
      <c r="AY99" s="20">
        <f t="shared" si="153"/>
        <v>-632762232.93487561</v>
      </c>
      <c r="AZ99" s="20">
        <f t="shared" si="154"/>
        <v>-601534797.28413093</v>
      </c>
      <c r="BA99" s="20">
        <f t="shared" si="155"/>
        <v>-572376015.97358263</v>
      </c>
      <c r="BB99" s="20">
        <f t="shared" si="156"/>
        <v>-545339936.34832931</v>
      </c>
      <c r="BC99" s="20">
        <f t="shared" si="157"/>
        <v>-520457025.7513417</v>
      </c>
      <c r="BD99" s="20">
        <f t="shared" si="158"/>
        <v>-497733998.67997628</v>
      </c>
      <c r="BE99" s="20">
        <f t="shared" si="159"/>
        <v>-477153910.99254715</v>
      </c>
      <c r="BF99" s="20">
        <f t="shared" si="160"/>
        <v>-458676512.78582805</v>
      </c>
      <c r="BG99" s="20">
        <f t="shared" si="161"/>
        <v>-442238848.78297532</v>
      </c>
      <c r="BH99" s="20">
        <f t="shared" si="162"/>
        <v>-427756092.72961628</v>
      </c>
      <c r="BI99" s="20">
        <f t="shared" si="163"/>
        <v>-415122600.40051866</v>
      </c>
      <c r="BJ99" s="20">
        <f t="shared" si="164"/>
        <v>-404213164.35957843</v>
      </c>
      <c r="BK99" s="20">
        <f t="shared" si="165"/>
        <v>-394884452.56526756</v>
      </c>
      <c r="BL99" s="20">
        <f t="shared" si="166"/>
        <v>-386976612.23212212</v>
      </c>
      <c r="BM99" s="20">
        <f t="shared" si="167"/>
        <v>-380315019.99553502</v>
      </c>
      <c r="BN99" s="20">
        <f t="shared" si="168"/>
        <v>-374712159.32366729</v>
      </c>
      <c r="BO99" s="20">
        <f t="shared" si="169"/>
        <v>-369969606.21398306</v>
      </c>
      <c r="BP99" s="20">
        <f t="shared" si="170"/>
        <v>-365880104.43899709</v>
      </c>
      <c r="BQ99" s="20">
        <f t="shared" si="171"/>
        <v>-362229711.90475863</v>
      </c>
      <c r="BR99" s="18">
        <f t="shared" si="172"/>
        <v>-358800000</v>
      </c>
      <c r="BT99" s="52"/>
      <c r="BU99" s="22">
        <v>1.6666666666666666E-2</v>
      </c>
      <c r="BV99" s="18">
        <f t="shared" si="173"/>
        <v>0.40657464742411625</v>
      </c>
      <c r="BW99" s="20">
        <f t="shared" si="174"/>
        <v>0.40657464742411625</v>
      </c>
      <c r="BX99" s="20">
        <f t="shared" si="175"/>
        <v>0.40657464742411625</v>
      </c>
      <c r="BY99" s="20">
        <f t="shared" si="176"/>
        <v>0.40657464742411625</v>
      </c>
      <c r="BZ99" s="20">
        <f t="shared" si="177"/>
        <v>0.40657464742411625</v>
      </c>
      <c r="CA99" s="20">
        <f t="shared" si="178"/>
        <v>0.40657464742411625</v>
      </c>
      <c r="CB99" s="20">
        <f t="shared" si="179"/>
        <v>0.40657464742411625</v>
      </c>
      <c r="CC99" s="20">
        <f t="shared" si="180"/>
        <v>0.40657464742411625</v>
      </c>
      <c r="CD99" s="20">
        <f t="shared" si="181"/>
        <v>0.40657464742411625</v>
      </c>
      <c r="CE99" s="20">
        <f t="shared" si="182"/>
        <v>0.40657464742411625</v>
      </c>
      <c r="CF99" s="20">
        <f t="shared" si="183"/>
        <v>0.40657464742411625</v>
      </c>
      <c r="CG99" s="20">
        <f t="shared" si="184"/>
        <v>0.40657464742411625</v>
      </c>
      <c r="CH99" s="20">
        <f t="shared" si="185"/>
        <v>0.40657464742411625</v>
      </c>
      <c r="CI99" s="20">
        <f t="shared" si="186"/>
        <v>0.40657464742411625</v>
      </c>
      <c r="CJ99" s="20">
        <f t="shared" si="187"/>
        <v>0.40657464742411625</v>
      </c>
      <c r="CK99" s="20">
        <f t="shared" si="188"/>
        <v>0.40657464742411625</v>
      </c>
      <c r="CL99" s="20">
        <f t="shared" si="189"/>
        <v>0.40657464742411625</v>
      </c>
      <c r="CM99" s="20">
        <f t="shared" si="190"/>
        <v>0.40657464742411625</v>
      </c>
      <c r="CN99" s="20">
        <f t="shared" si="191"/>
        <v>0.40657464742411625</v>
      </c>
      <c r="CO99" s="20">
        <f t="shared" si="192"/>
        <v>0.40657464742411625</v>
      </c>
      <c r="CP99" s="20">
        <f t="shared" si="193"/>
        <v>0.40657464742411625</v>
      </c>
      <c r="CQ99" s="20">
        <f t="shared" si="194"/>
        <v>0.40657464742411625</v>
      </c>
      <c r="CR99" s="20">
        <f t="shared" si="195"/>
        <v>0.40657464742411625</v>
      </c>
      <c r="CS99" s="20">
        <f t="shared" si="196"/>
        <v>0.40657464742411625</v>
      </c>
      <c r="CT99" s="20">
        <f t="shared" si="197"/>
        <v>0.40657464742411625</v>
      </c>
      <c r="CU99" s="20">
        <f t="shared" si="198"/>
        <v>0.40657464742411625</v>
      </c>
      <c r="CV99" s="20">
        <f t="shared" si="199"/>
        <v>0.40657464742411625</v>
      </c>
      <c r="CW99" s="20">
        <f t="shared" si="200"/>
        <v>0.40657464742411625</v>
      </c>
      <c r="CX99" s="20">
        <f t="shared" si="201"/>
        <v>0.40657464742411625</v>
      </c>
      <c r="CY99" s="20">
        <f t="shared" si="202"/>
        <v>0.40657464742411625</v>
      </c>
      <c r="CZ99" s="18">
        <f t="shared" si="203"/>
        <v>0.40657464742411625</v>
      </c>
      <c r="DB99" s="52"/>
      <c r="DC99" s="22">
        <v>1.6666666666666666E-2</v>
      </c>
      <c r="DD99" s="18">
        <f t="shared" si="204"/>
        <v>178.02760577276516</v>
      </c>
      <c r="DE99" s="20">
        <f t="shared" si="205"/>
        <v>170.64380158726516</v>
      </c>
      <c r="DF99" s="20">
        <f t="shared" si="206"/>
        <v>163.29818804138822</v>
      </c>
      <c r="DG99" s="20">
        <f t="shared" si="207"/>
        <v>156.02850936548396</v>
      </c>
      <c r="DH99" s="20">
        <f t="shared" si="208"/>
        <v>148.87162310059963</v>
      </c>
      <c r="DI99" s="20">
        <f t="shared" si="209"/>
        <v>141.86307195417601</v>
      </c>
      <c r="DJ99" s="20">
        <f t="shared" si="210"/>
        <v>135.03667355634303</v>
      </c>
      <c r="DK99" s="20">
        <f t="shared" si="211"/>
        <v>128.42413352891546</v>
      </c>
      <c r="DL99" s="20">
        <f t="shared" si="212"/>
        <v>122.05468682633867</v>
      </c>
      <c r="DM99" s="20">
        <f t="shared" si="213"/>
        <v>115.95477176894906</v>
      </c>
      <c r="DN99" s="20">
        <f t="shared" si="214"/>
        <v>110.14774058038248</v>
      </c>
      <c r="DO99" s="20">
        <f t="shared" si="215"/>
        <v>104.65360958084784</v>
      </c>
      <c r="DP99" s="20">
        <f t="shared" si="216"/>
        <v>99.488851495261471</v>
      </c>
      <c r="DQ99" s="20">
        <f t="shared" si="217"/>
        <v>94.666231629069927</v>
      </c>
      <c r="DR99" s="20">
        <f t="shared" si="218"/>
        <v>90.194688963549979</v>
      </c>
      <c r="DS99" s="20">
        <f t="shared" si="219"/>
        <v>86.079262543780871</v>
      </c>
      <c r="DT99" s="20">
        <f t="shared" si="220"/>
        <v>82.321062891769628</v>
      </c>
      <c r="DU99" s="20">
        <f t="shared" si="221"/>
        <v>78.917287587434274</v>
      </c>
      <c r="DV99" s="20">
        <f t="shared" si="222"/>
        <v>75.861279631607275</v>
      </c>
      <c r="DW99" s="20">
        <f t="shared" si="223"/>
        <v>73.142626745203472</v>
      </c>
      <c r="DX99" s="20">
        <f t="shared" si="224"/>
        <v>70.747299371392131</v>
      </c>
      <c r="DY99" s="20">
        <f t="shared" si="225"/>
        <v>68.657824834140328</v>
      </c>
      <c r="DZ99" s="20">
        <f t="shared" si="226"/>
        <v>66.853494865077067</v>
      </c>
      <c r="EA99" s="20">
        <f t="shared" si="227"/>
        <v>65.310603536866992</v>
      </c>
      <c r="EB99" s="20">
        <f t="shared" si="228"/>
        <v>64.002712528558561</v>
      </c>
      <c r="EC99" s="20">
        <f t="shared" si="229"/>
        <v>62.900940588281678</v>
      </c>
      <c r="ED99" s="20">
        <f t="shared" si="230"/>
        <v>61.9742740415602</v>
      </c>
      <c r="EE99" s="20">
        <f t="shared" si="231"/>
        <v>61.189895209000497</v>
      </c>
      <c r="EF99" s="20">
        <f t="shared" si="232"/>
        <v>60.513525634674757</v>
      </c>
      <c r="EG99" s="20">
        <f t="shared" si="233"/>
        <v>59.909781075959366</v>
      </c>
      <c r="EH99" s="18">
        <f t="shared" si="234"/>
        <v>59.342535257588374</v>
      </c>
    </row>
    <row r="100" spans="5:138" x14ac:dyDescent="0.3">
      <c r="E100" s="54"/>
      <c r="F100" s="22">
        <v>1.3333333333333334E-2</v>
      </c>
      <c r="G100" s="31">
        <f t="shared" si="139"/>
        <v>300</v>
      </c>
      <c r="H100" s="32">
        <f t="shared" si="235"/>
        <v>287.55731592280472</v>
      </c>
      <c r="I100" s="32">
        <f t="shared" si="236"/>
        <v>275.17898811124115</v>
      </c>
      <c r="J100" s="32">
        <f t="shared" si="237"/>
        <v>262.92862057242814</v>
      </c>
      <c r="K100" s="32">
        <f t="shared" si="238"/>
        <v>250.86832312504345</v>
      </c>
      <c r="L100" s="32">
        <f t="shared" si="239"/>
        <v>239.0579899196932</v>
      </c>
      <c r="M100" s="32">
        <f t="shared" si="240"/>
        <v>227.55460812415382</v>
      </c>
      <c r="N100" s="32">
        <f t="shared" si="241"/>
        <v>216.41160589358765</v>
      </c>
      <c r="O100" s="32">
        <f t="shared" si="242"/>
        <v>205.67824798272505</v>
      </c>
      <c r="P100" s="32">
        <f t="shared" si="243"/>
        <v>195.39908644890841</v>
      </c>
      <c r="Q100" s="32">
        <f t="shared" si="244"/>
        <v>185.61347286944132</v>
      </c>
      <c r="R100" s="32">
        <f t="shared" si="245"/>
        <v>176.355137384302</v>
      </c>
      <c r="S100" s="32">
        <f t="shared" si="246"/>
        <v>167.65183870795175</v>
      </c>
      <c r="T100" s="32">
        <f t="shared" si="247"/>
        <v>159.5250880639862</v>
      </c>
      <c r="U100" s="32">
        <f t="shared" si="248"/>
        <v>151.98994881503046</v>
      </c>
      <c r="V100" s="32">
        <f t="shared" si="249"/>
        <v>145.05491241676191</v>
      </c>
      <c r="W100" s="32">
        <f t="shared" si="250"/>
        <v>138.72185024525538</v>
      </c>
      <c r="X100" s="32">
        <f t="shared" si="251"/>
        <v>132.9860398529953</v>
      </c>
      <c r="Y100" s="32">
        <f t="shared" si="252"/>
        <v>127.83626331823524</v>
      </c>
      <c r="Z100" s="32">
        <f t="shared" si="253"/>
        <v>123.2549745771949</v>
      </c>
      <c r="AA100" s="32">
        <f t="shared" si="254"/>
        <v>119.21853197592425</v>
      </c>
      <c r="AB100" s="32">
        <f t="shared" si="255"/>
        <v>115.69749175042325</v>
      </c>
      <c r="AC100" s="32">
        <f t="shared" si="256"/>
        <v>112.65695773678328</v>
      </c>
      <c r="AD100" s="32">
        <f t="shared" si="257"/>
        <v>110.05698232030866</v>
      </c>
      <c r="AE100" s="32">
        <f t="shared" si="258"/>
        <v>107.85301344262042</v>
      </c>
      <c r="AF100" s="32">
        <f t="shared" si="259"/>
        <v>105.99638238448578</v>
      </c>
      <c r="AG100" s="32">
        <f t="shared" si="260"/>
        <v>104.4348270132852</v>
      </c>
      <c r="AH100" s="32">
        <f t="shared" si="261"/>
        <v>103.1130452101402</v>
      </c>
      <c r="AI100" s="32">
        <f t="shared" si="262"/>
        <v>101.97327325501593</v>
      </c>
      <c r="AJ100" s="32">
        <f t="shared" si="263"/>
        <v>100.95588403142659</v>
      </c>
      <c r="AK100" s="31">
        <f t="shared" si="141"/>
        <v>100</v>
      </c>
      <c r="AL100" s="55"/>
      <c r="AM100" s="22">
        <v>1.3333333333333334E-2</v>
      </c>
      <c r="AN100" s="18">
        <f t="shared" si="142"/>
        <v>-1076400000</v>
      </c>
      <c r="AO100" s="20">
        <f t="shared" si="143"/>
        <v>-1031755649.5310231</v>
      </c>
      <c r="AP100" s="20">
        <f t="shared" si="144"/>
        <v>-987342209.34313321</v>
      </c>
      <c r="AQ100" s="20">
        <f t="shared" si="145"/>
        <v>-943387890.61387217</v>
      </c>
      <c r="AR100" s="20">
        <f t="shared" si="146"/>
        <v>-900115543.37265575</v>
      </c>
      <c r="AS100" s="20">
        <f t="shared" si="147"/>
        <v>-857740067.83185935</v>
      </c>
      <c r="AT100" s="20">
        <f t="shared" si="148"/>
        <v>-816465933.94946384</v>
      </c>
      <c r="AU100" s="20">
        <f t="shared" si="149"/>
        <v>-776484841.9461925</v>
      </c>
      <c r="AV100" s="20">
        <f t="shared" si="150"/>
        <v>-737973553.76201749</v>
      </c>
      <c r="AW100" s="20">
        <f t="shared" si="151"/>
        <v>-701091922.1786834</v>
      </c>
      <c r="AX100" s="20">
        <f t="shared" si="152"/>
        <v>-665981140.65555549</v>
      </c>
      <c r="AY100" s="20">
        <f t="shared" si="153"/>
        <v>-632762232.93487549</v>
      </c>
      <c r="AZ100" s="20">
        <f t="shared" si="154"/>
        <v>-601534797.28413093</v>
      </c>
      <c r="BA100" s="20">
        <f t="shared" si="155"/>
        <v>-572376015.97358251</v>
      </c>
      <c r="BB100" s="20">
        <f t="shared" si="156"/>
        <v>-545339936.34832931</v>
      </c>
      <c r="BC100" s="20">
        <f t="shared" si="157"/>
        <v>-520457025.7513417</v>
      </c>
      <c r="BD100" s="20">
        <f t="shared" si="158"/>
        <v>-497733998.67997628</v>
      </c>
      <c r="BE100" s="20">
        <f t="shared" si="159"/>
        <v>-477153910.99254715</v>
      </c>
      <c r="BF100" s="20">
        <f t="shared" si="160"/>
        <v>-458676512.78582805</v>
      </c>
      <c r="BG100" s="20">
        <f t="shared" si="161"/>
        <v>-442238848.78297532</v>
      </c>
      <c r="BH100" s="20">
        <f t="shared" si="162"/>
        <v>-427756092.72961617</v>
      </c>
      <c r="BI100" s="20">
        <f t="shared" si="163"/>
        <v>-415122600.4005186</v>
      </c>
      <c r="BJ100" s="20">
        <f t="shared" si="164"/>
        <v>-404213164.35957837</v>
      </c>
      <c r="BK100" s="20">
        <f t="shared" si="165"/>
        <v>-394884452.5652675</v>
      </c>
      <c r="BL100" s="20">
        <f t="shared" si="166"/>
        <v>-386976612.23212206</v>
      </c>
      <c r="BM100" s="20">
        <f t="shared" si="167"/>
        <v>-380315019.99553496</v>
      </c>
      <c r="BN100" s="20">
        <f t="shared" si="168"/>
        <v>-374712159.32366729</v>
      </c>
      <c r="BO100" s="20">
        <f t="shared" si="169"/>
        <v>-369969606.21398306</v>
      </c>
      <c r="BP100" s="20">
        <f t="shared" si="170"/>
        <v>-365880104.43899709</v>
      </c>
      <c r="BQ100" s="20">
        <f t="shared" si="171"/>
        <v>-362229711.90475863</v>
      </c>
      <c r="BR100" s="18">
        <f t="shared" si="172"/>
        <v>-358800000</v>
      </c>
      <c r="BT100" s="52"/>
      <c r="BU100" s="22">
        <v>1.3333333333333334E-2</v>
      </c>
      <c r="BV100" s="18">
        <f t="shared" si="173"/>
        <v>0.40709372886650147</v>
      </c>
      <c r="BW100" s="20">
        <f t="shared" si="174"/>
        <v>0.40709372886650147</v>
      </c>
      <c r="BX100" s="20">
        <f t="shared" si="175"/>
        <v>0.40709372886650147</v>
      </c>
      <c r="BY100" s="20">
        <f t="shared" si="176"/>
        <v>0.40709372886650147</v>
      </c>
      <c r="BZ100" s="20">
        <f t="shared" si="177"/>
        <v>0.40709372886650147</v>
      </c>
      <c r="CA100" s="20">
        <f t="shared" si="178"/>
        <v>0.40709372886650147</v>
      </c>
      <c r="CB100" s="20">
        <f t="shared" si="179"/>
        <v>0.40709372886650147</v>
      </c>
      <c r="CC100" s="20">
        <f t="shared" si="180"/>
        <v>0.40709372886650147</v>
      </c>
      <c r="CD100" s="20">
        <f t="shared" si="181"/>
        <v>0.40709372886650147</v>
      </c>
      <c r="CE100" s="20">
        <f t="shared" si="182"/>
        <v>0.40709372886650147</v>
      </c>
      <c r="CF100" s="20">
        <f t="shared" si="183"/>
        <v>0.40709372886650147</v>
      </c>
      <c r="CG100" s="20">
        <f t="shared" si="184"/>
        <v>0.40709372886650147</v>
      </c>
      <c r="CH100" s="20">
        <f t="shared" si="185"/>
        <v>0.40709372886650147</v>
      </c>
      <c r="CI100" s="20">
        <f t="shared" si="186"/>
        <v>0.40709372886650147</v>
      </c>
      <c r="CJ100" s="20">
        <f t="shared" si="187"/>
        <v>0.40709372886650147</v>
      </c>
      <c r="CK100" s="20">
        <f t="shared" si="188"/>
        <v>0.40709372886650147</v>
      </c>
      <c r="CL100" s="20">
        <f t="shared" si="189"/>
        <v>0.40709372886650147</v>
      </c>
      <c r="CM100" s="20">
        <f t="shared" si="190"/>
        <v>0.40709372886650147</v>
      </c>
      <c r="CN100" s="20">
        <f t="shared" si="191"/>
        <v>0.40709372886650147</v>
      </c>
      <c r="CO100" s="20">
        <f t="shared" si="192"/>
        <v>0.40709372886650147</v>
      </c>
      <c r="CP100" s="20">
        <f t="shared" si="193"/>
        <v>0.40709372886650147</v>
      </c>
      <c r="CQ100" s="20">
        <f t="shared" si="194"/>
        <v>0.40709372886650147</v>
      </c>
      <c r="CR100" s="20">
        <f t="shared" si="195"/>
        <v>0.40709372886650147</v>
      </c>
      <c r="CS100" s="20">
        <f t="shared" si="196"/>
        <v>0.40709372886650147</v>
      </c>
      <c r="CT100" s="20">
        <f t="shared" si="197"/>
        <v>0.40709372886650147</v>
      </c>
      <c r="CU100" s="20">
        <f t="shared" si="198"/>
        <v>0.40709372886650147</v>
      </c>
      <c r="CV100" s="20">
        <f t="shared" si="199"/>
        <v>0.40709372886650147</v>
      </c>
      <c r="CW100" s="20">
        <f t="shared" si="200"/>
        <v>0.40709372886650147</v>
      </c>
      <c r="CX100" s="20">
        <f t="shared" si="201"/>
        <v>0.40709372886650147</v>
      </c>
      <c r="CY100" s="20">
        <f t="shared" si="202"/>
        <v>0.40709372886650147</v>
      </c>
      <c r="CZ100" s="18">
        <f t="shared" si="203"/>
        <v>0.40709372886650147</v>
      </c>
      <c r="DB100" s="52"/>
      <c r="DC100" s="22">
        <v>1.3333333333333334E-2</v>
      </c>
      <c r="DD100" s="18">
        <f t="shared" si="204"/>
        <v>177.87188134004958</v>
      </c>
      <c r="DE100" s="20">
        <f t="shared" si="205"/>
        <v>170.49453592094753</v>
      </c>
      <c r="DF100" s="20">
        <f t="shared" si="206"/>
        <v>163.15534773532531</v>
      </c>
      <c r="DG100" s="20">
        <f t="shared" si="207"/>
        <v>155.89202799787284</v>
      </c>
      <c r="DH100" s="20">
        <f t="shared" si="208"/>
        <v>148.74140200958311</v>
      </c>
      <c r="DI100" s="20">
        <f t="shared" si="209"/>
        <v>141.73898138795477</v>
      </c>
      <c r="DJ100" s="20">
        <f t="shared" si="210"/>
        <v>134.91855418213655</v>
      </c>
      <c r="DK100" s="20">
        <f t="shared" si="211"/>
        <v>128.31179828037929</v>
      </c>
      <c r="DL100" s="20">
        <f t="shared" si="212"/>
        <v>121.9479230647085</v>
      </c>
      <c r="DM100" s="20">
        <f t="shared" si="213"/>
        <v>115.85334372931439</v>
      </c>
      <c r="DN100" s="20">
        <f t="shared" si="214"/>
        <v>110.05139207115924</v>
      </c>
      <c r="DO100" s="20">
        <f t="shared" si="215"/>
        <v>104.56206690176234</v>
      </c>
      <c r="DP100" s="20">
        <f t="shared" si="216"/>
        <v>99.4018265370064</v>
      </c>
      <c r="DQ100" s="20">
        <f t="shared" si="217"/>
        <v>94.583425116261026</v>
      </c>
      <c r="DR100" s="20">
        <f t="shared" si="218"/>
        <v>90.115793801691012</v>
      </c>
      <c r="DS100" s="20">
        <f t="shared" si="219"/>
        <v>86.003967230618514</v>
      </c>
      <c r="DT100" s="20">
        <f t="shared" si="220"/>
        <v>82.249054953653967</v>
      </c>
      <c r="DU100" s="20">
        <f t="shared" si="221"/>
        <v>78.848257002050261</v>
      </c>
      <c r="DV100" s="20">
        <f t="shared" si="222"/>
        <v>75.794922199654891</v>
      </c>
      <c r="DW100" s="20">
        <f t="shared" si="223"/>
        <v>73.078647375218779</v>
      </c>
      <c r="DX100" s="20">
        <f t="shared" si="224"/>
        <v>70.685415243855005</v>
      </c>
      <c r="DY100" s="20">
        <f t="shared" si="225"/>
        <v>68.59776841324215</v>
      </c>
      <c r="DZ100" s="20">
        <f t="shared" si="226"/>
        <v>66.795016728960306</v>
      </c>
      <c r="EA100" s="20">
        <f t="shared" si="227"/>
        <v>65.253474999739581</v>
      </c>
      <c r="EB100" s="20">
        <f t="shared" si="228"/>
        <v>63.946728030775162</v>
      </c>
      <c r="EC100" s="20">
        <f t="shared" si="229"/>
        <v>62.845919833225913</v>
      </c>
      <c r="ED100" s="20">
        <f t="shared" si="230"/>
        <v>61.920063860918887</v>
      </c>
      <c r="EE100" s="20">
        <f t="shared" si="231"/>
        <v>61.136371140764076</v>
      </c>
      <c r="EF100" s="20">
        <f t="shared" si="232"/>
        <v>60.460593200908804</v>
      </c>
      <c r="EG100" s="20">
        <f t="shared" si="233"/>
        <v>59.857376750059053</v>
      </c>
      <c r="EH100" s="18">
        <f t="shared" si="234"/>
        <v>59.290627113349856</v>
      </c>
    </row>
    <row r="101" spans="5:138" x14ac:dyDescent="0.3">
      <c r="E101" s="54"/>
      <c r="F101" s="22">
        <v>0.01</v>
      </c>
      <c r="G101" s="31">
        <f t="shared" si="139"/>
        <v>300</v>
      </c>
      <c r="H101" s="32">
        <f t="shared" si="235"/>
        <v>287.55731592280466</v>
      </c>
      <c r="I101" s="32">
        <f t="shared" si="236"/>
        <v>275.1789881112411</v>
      </c>
      <c r="J101" s="32">
        <f t="shared" si="237"/>
        <v>262.92862057242814</v>
      </c>
      <c r="K101" s="32">
        <f t="shared" si="238"/>
        <v>250.86832312504339</v>
      </c>
      <c r="L101" s="32">
        <f t="shared" si="239"/>
        <v>239.05798991969314</v>
      </c>
      <c r="M101" s="32">
        <f t="shared" si="240"/>
        <v>227.55460812415376</v>
      </c>
      <c r="N101" s="32">
        <f t="shared" si="241"/>
        <v>216.41160589358756</v>
      </c>
      <c r="O101" s="32">
        <f t="shared" si="242"/>
        <v>205.678247982725</v>
      </c>
      <c r="P101" s="32">
        <f t="shared" si="243"/>
        <v>195.39908644890835</v>
      </c>
      <c r="Q101" s="32">
        <f t="shared" si="244"/>
        <v>185.6134728694413</v>
      </c>
      <c r="R101" s="32">
        <f t="shared" si="245"/>
        <v>176.35513738430194</v>
      </c>
      <c r="S101" s="32">
        <f t="shared" si="246"/>
        <v>167.65183870795173</v>
      </c>
      <c r="T101" s="32">
        <f t="shared" si="247"/>
        <v>159.52508806398617</v>
      </c>
      <c r="U101" s="32">
        <f t="shared" si="248"/>
        <v>151.98994881503043</v>
      </c>
      <c r="V101" s="32">
        <f t="shared" si="249"/>
        <v>145.05491241676188</v>
      </c>
      <c r="W101" s="32">
        <f t="shared" si="250"/>
        <v>138.72185024525538</v>
      </c>
      <c r="X101" s="32">
        <f t="shared" si="251"/>
        <v>132.98603985299528</v>
      </c>
      <c r="Y101" s="32">
        <f t="shared" si="252"/>
        <v>127.8362633182352</v>
      </c>
      <c r="Z101" s="32">
        <f t="shared" si="253"/>
        <v>123.25497457719487</v>
      </c>
      <c r="AA101" s="32">
        <f t="shared" si="254"/>
        <v>119.21853197592422</v>
      </c>
      <c r="AB101" s="32">
        <f t="shared" si="255"/>
        <v>115.69749175042323</v>
      </c>
      <c r="AC101" s="32">
        <f t="shared" si="256"/>
        <v>112.65695773678326</v>
      </c>
      <c r="AD101" s="32">
        <f t="shared" si="257"/>
        <v>110.05698232030863</v>
      </c>
      <c r="AE101" s="32">
        <f t="shared" si="258"/>
        <v>107.85301344262039</v>
      </c>
      <c r="AF101" s="32">
        <f t="shared" si="259"/>
        <v>105.99638238448576</v>
      </c>
      <c r="AG101" s="32">
        <f t="shared" si="260"/>
        <v>104.43482701328517</v>
      </c>
      <c r="AH101" s="32">
        <f t="shared" si="261"/>
        <v>103.11304521014017</v>
      </c>
      <c r="AI101" s="32">
        <f t="shared" si="262"/>
        <v>101.97327325501591</v>
      </c>
      <c r="AJ101" s="32">
        <f t="shared" si="263"/>
        <v>100.95588403142659</v>
      </c>
      <c r="AK101" s="31">
        <f t="shared" si="141"/>
        <v>100</v>
      </c>
      <c r="AL101" s="55"/>
      <c r="AM101" s="22">
        <v>0.01</v>
      </c>
      <c r="AN101" s="18">
        <f t="shared" si="142"/>
        <v>-1076400000</v>
      </c>
      <c r="AO101" s="20">
        <f t="shared" si="143"/>
        <v>-1031755649.5310231</v>
      </c>
      <c r="AP101" s="20">
        <f t="shared" si="144"/>
        <v>-987342209.34313309</v>
      </c>
      <c r="AQ101" s="20">
        <f t="shared" si="145"/>
        <v>-943387890.61387217</v>
      </c>
      <c r="AR101" s="20">
        <f t="shared" si="146"/>
        <v>-900115543.37265563</v>
      </c>
      <c r="AS101" s="20">
        <f t="shared" si="147"/>
        <v>-857740067.83185911</v>
      </c>
      <c r="AT101" s="20">
        <f t="shared" si="148"/>
        <v>-816465933.94946361</v>
      </c>
      <c r="AU101" s="20">
        <f t="shared" si="149"/>
        <v>-776484841.94619203</v>
      </c>
      <c r="AV101" s="20">
        <f t="shared" si="150"/>
        <v>-737973553.76201725</v>
      </c>
      <c r="AW101" s="20">
        <f t="shared" si="151"/>
        <v>-701091922.17868316</v>
      </c>
      <c r="AX101" s="20">
        <f t="shared" si="152"/>
        <v>-665981140.65555537</v>
      </c>
      <c r="AY101" s="20">
        <f t="shared" si="153"/>
        <v>-632762232.93487537</v>
      </c>
      <c r="AZ101" s="20">
        <f t="shared" si="154"/>
        <v>-601534797.28413081</v>
      </c>
      <c r="BA101" s="20">
        <f t="shared" si="155"/>
        <v>-572376015.97358239</v>
      </c>
      <c r="BB101" s="20">
        <f t="shared" si="156"/>
        <v>-545339936.34832907</v>
      </c>
      <c r="BC101" s="20">
        <f t="shared" si="157"/>
        <v>-520457025.75134164</v>
      </c>
      <c r="BD101" s="20">
        <f t="shared" si="158"/>
        <v>-497733998.67997622</v>
      </c>
      <c r="BE101" s="20">
        <f t="shared" si="159"/>
        <v>-477153910.99254698</v>
      </c>
      <c r="BF101" s="20">
        <f t="shared" si="160"/>
        <v>-458676512.78582782</v>
      </c>
      <c r="BG101" s="20">
        <f t="shared" si="161"/>
        <v>-442238848.7829752</v>
      </c>
      <c r="BH101" s="20">
        <f t="shared" si="162"/>
        <v>-427756092.72961617</v>
      </c>
      <c r="BI101" s="20">
        <f t="shared" si="163"/>
        <v>-415122600.4005186</v>
      </c>
      <c r="BJ101" s="20">
        <f t="shared" si="164"/>
        <v>-404213164.35957831</v>
      </c>
      <c r="BK101" s="20">
        <f t="shared" si="165"/>
        <v>-394884452.56526738</v>
      </c>
      <c r="BL101" s="20">
        <f t="shared" si="166"/>
        <v>-386976612.232122</v>
      </c>
      <c r="BM101" s="20">
        <f t="shared" si="167"/>
        <v>-380315019.99553484</v>
      </c>
      <c r="BN101" s="20">
        <f t="shared" si="168"/>
        <v>-374712159.32366717</v>
      </c>
      <c r="BO101" s="20">
        <f t="shared" si="169"/>
        <v>-369969606.21398294</v>
      </c>
      <c r="BP101" s="20">
        <f t="shared" si="170"/>
        <v>-365880104.43899703</v>
      </c>
      <c r="BQ101" s="20">
        <f t="shared" si="171"/>
        <v>-362229711.90475857</v>
      </c>
      <c r="BR101" s="18">
        <f t="shared" si="172"/>
        <v>-358800000</v>
      </c>
      <c r="BT101" s="52"/>
      <c r="BU101" s="22">
        <v>0.01</v>
      </c>
      <c r="BV101" s="18">
        <f t="shared" si="173"/>
        <v>0.41022990753415084</v>
      </c>
      <c r="BW101" s="20">
        <f t="shared" si="174"/>
        <v>0.41022990753415084</v>
      </c>
      <c r="BX101" s="20">
        <f t="shared" si="175"/>
        <v>0.41022990753415084</v>
      </c>
      <c r="BY101" s="20">
        <f t="shared" si="176"/>
        <v>0.41022990753415084</v>
      </c>
      <c r="BZ101" s="20">
        <f t="shared" si="177"/>
        <v>0.41022990753415084</v>
      </c>
      <c r="CA101" s="20">
        <f t="shared" si="178"/>
        <v>0.41022990753415084</v>
      </c>
      <c r="CB101" s="20">
        <f t="shared" si="179"/>
        <v>0.41022990753415084</v>
      </c>
      <c r="CC101" s="20">
        <f t="shared" si="180"/>
        <v>0.41022990753415084</v>
      </c>
      <c r="CD101" s="20">
        <f t="shared" si="181"/>
        <v>0.41022990753415084</v>
      </c>
      <c r="CE101" s="20">
        <f t="shared" si="182"/>
        <v>0.41022990753415084</v>
      </c>
      <c r="CF101" s="20">
        <f t="shared" si="183"/>
        <v>0.41022990753415084</v>
      </c>
      <c r="CG101" s="20">
        <f t="shared" si="184"/>
        <v>0.41022990753415084</v>
      </c>
      <c r="CH101" s="20">
        <f t="shared" si="185"/>
        <v>0.41022990753415084</v>
      </c>
      <c r="CI101" s="20">
        <f t="shared" si="186"/>
        <v>0.41022990753415084</v>
      </c>
      <c r="CJ101" s="20">
        <f t="shared" si="187"/>
        <v>0.41022990753415084</v>
      </c>
      <c r="CK101" s="20">
        <f t="shared" si="188"/>
        <v>0.41022990753415084</v>
      </c>
      <c r="CL101" s="20">
        <f t="shared" si="189"/>
        <v>0.41022990753415084</v>
      </c>
      <c r="CM101" s="20">
        <f t="shared" si="190"/>
        <v>0.41022990753415084</v>
      </c>
      <c r="CN101" s="20">
        <f t="shared" si="191"/>
        <v>0.41022990753415084</v>
      </c>
      <c r="CO101" s="20">
        <f t="shared" si="192"/>
        <v>0.41022990753415084</v>
      </c>
      <c r="CP101" s="20">
        <f t="shared" si="193"/>
        <v>0.41022990753415084</v>
      </c>
      <c r="CQ101" s="20">
        <f t="shared" si="194"/>
        <v>0.41022990753415084</v>
      </c>
      <c r="CR101" s="20">
        <f t="shared" si="195"/>
        <v>0.41022990753415084</v>
      </c>
      <c r="CS101" s="20">
        <f t="shared" si="196"/>
        <v>0.41022990753415084</v>
      </c>
      <c r="CT101" s="20">
        <f t="shared" si="197"/>
        <v>0.41022990753415084</v>
      </c>
      <c r="CU101" s="20">
        <f t="shared" si="198"/>
        <v>0.41022990753415084</v>
      </c>
      <c r="CV101" s="20">
        <f t="shared" si="199"/>
        <v>0.41022990753415084</v>
      </c>
      <c r="CW101" s="20">
        <f t="shared" si="200"/>
        <v>0.41022990753415084</v>
      </c>
      <c r="CX101" s="20">
        <f t="shared" si="201"/>
        <v>0.41022990753415084</v>
      </c>
      <c r="CY101" s="20">
        <f t="shared" si="202"/>
        <v>0.41022990753415084</v>
      </c>
      <c r="CZ101" s="18">
        <f t="shared" si="203"/>
        <v>0.41022990753415084</v>
      </c>
      <c r="DB101" s="52"/>
      <c r="DC101" s="22">
        <v>0.01</v>
      </c>
      <c r="DD101" s="18">
        <f t="shared" si="204"/>
        <v>176.93102773975474</v>
      </c>
      <c r="DE101" s="20">
        <f t="shared" si="205"/>
        <v>169.59270480102387</v>
      </c>
      <c r="DF101" s="20">
        <f t="shared" si="206"/>
        <v>162.29233726302544</v>
      </c>
      <c r="DG101" s="20">
        <f t="shared" si="207"/>
        <v>155.06743686691911</v>
      </c>
      <c r="DH101" s="20">
        <f t="shared" si="208"/>
        <v>147.95463412620933</v>
      </c>
      <c r="DI101" s="20">
        <f t="shared" si="209"/>
        <v>140.98925281963744</v>
      </c>
      <c r="DJ101" s="20">
        <f t="shared" si="210"/>
        <v>134.20490227441221</v>
      </c>
      <c r="DK101" s="20">
        <f t="shared" si="211"/>
        <v>127.63309281854401</v>
      </c>
      <c r="DL101" s="20">
        <f t="shared" si="212"/>
        <v>121.30287933098553</v>
      </c>
      <c r="DM101" s="20">
        <f t="shared" si="213"/>
        <v>115.24053728271511</v>
      </c>
      <c r="DN101" s="20">
        <f t="shared" si="214"/>
        <v>109.46927505711776</v>
      </c>
      <c r="DO101" s="20">
        <f t="shared" si="215"/>
        <v>104.00898568196727</v>
      </c>
      <c r="DP101" s="20">
        <f t="shared" si="216"/>
        <v>98.876040416858302</v>
      </c>
      <c r="DQ101" s="20">
        <f t="shared" si="217"/>
        <v>94.083125938119849</v>
      </c>
      <c r="DR101" s="20">
        <f t="shared" si="218"/>
        <v>89.639126166520157</v>
      </c>
      <c r="DS101" s="20">
        <f t="shared" si="219"/>
        <v>85.54904910865929</v>
      </c>
      <c r="DT101" s="20">
        <f t="shared" si="220"/>
        <v>81.813998446177933</v>
      </c>
      <c r="DU101" s="20">
        <f t="shared" si="221"/>
        <v>78.431189020768116</v>
      </c>
      <c r="DV101" s="20">
        <f t="shared" si="222"/>
        <v>75.394004837684193</v>
      </c>
      <c r="DW101" s="20">
        <f t="shared" si="223"/>
        <v>72.692097753268087</v>
      </c>
      <c r="DX101" s="20">
        <f t="shared" si="224"/>
        <v>70.311524627083614</v>
      </c>
      <c r="DY101" s="20">
        <f t="shared" si="225"/>
        <v>68.234920407713915</v>
      </c>
      <c r="DZ101" s="20">
        <f t="shared" si="226"/>
        <v>66.441704381343911</v>
      </c>
      <c r="EA101" s="20">
        <f t="shared" si="227"/>
        <v>64.908316639560738</v>
      </c>
      <c r="EB101" s="20">
        <f t="shared" si="228"/>
        <v>63.60848171077469</v>
      </c>
      <c r="EC101" s="20">
        <f t="shared" si="229"/>
        <v>62.513496239943656</v>
      </c>
      <c r="ED101" s="20">
        <f t="shared" si="230"/>
        <v>61.592537584280137</v>
      </c>
      <c r="EE101" s="20">
        <f t="shared" si="231"/>
        <v>60.812990208019649</v>
      </c>
      <c r="EF101" s="20">
        <f t="shared" si="232"/>
        <v>60.14078679665603</v>
      </c>
      <c r="EG101" s="20">
        <f t="shared" si="233"/>
        <v>59.540761060186</v>
      </c>
      <c r="EH101" s="18">
        <f t="shared" si="234"/>
        <v>58.977009246584913</v>
      </c>
    </row>
    <row r="102" spans="5:138" x14ac:dyDescent="0.3">
      <c r="E102" s="54"/>
      <c r="F102" s="22">
        <v>6.6666666666666671E-3</v>
      </c>
      <c r="G102" s="31">
        <f t="shared" si="139"/>
        <v>300</v>
      </c>
      <c r="H102" s="32">
        <f t="shared" si="235"/>
        <v>287.55731592280461</v>
      </c>
      <c r="I102" s="32">
        <f t="shared" si="236"/>
        <v>275.1789881112411</v>
      </c>
      <c r="J102" s="32">
        <f t="shared" si="237"/>
        <v>262.92862057242809</v>
      </c>
      <c r="K102" s="32">
        <f t="shared" si="238"/>
        <v>250.86832312504333</v>
      </c>
      <c r="L102" s="32">
        <f t="shared" si="239"/>
        <v>239.05798991969311</v>
      </c>
      <c r="M102" s="32">
        <f t="shared" si="240"/>
        <v>227.55460812415367</v>
      </c>
      <c r="N102" s="32">
        <f t="shared" si="241"/>
        <v>216.41160589358751</v>
      </c>
      <c r="O102" s="32">
        <f t="shared" si="242"/>
        <v>205.67824798272494</v>
      </c>
      <c r="P102" s="32">
        <f t="shared" si="243"/>
        <v>195.39908644890829</v>
      </c>
      <c r="Q102" s="32">
        <f t="shared" si="244"/>
        <v>185.61347286944124</v>
      </c>
      <c r="R102" s="32">
        <f t="shared" si="245"/>
        <v>176.35513738430194</v>
      </c>
      <c r="S102" s="32">
        <f t="shared" si="246"/>
        <v>167.6518387079517</v>
      </c>
      <c r="T102" s="32">
        <f t="shared" si="247"/>
        <v>159.52508806398617</v>
      </c>
      <c r="U102" s="32">
        <f t="shared" si="248"/>
        <v>151.9899488150304</v>
      </c>
      <c r="V102" s="32">
        <f t="shared" si="249"/>
        <v>145.05491241676188</v>
      </c>
      <c r="W102" s="32">
        <f t="shared" si="250"/>
        <v>138.72185024525538</v>
      </c>
      <c r="X102" s="32">
        <f t="shared" si="251"/>
        <v>132.98603985299528</v>
      </c>
      <c r="Y102" s="32">
        <f t="shared" si="252"/>
        <v>127.83626331823517</v>
      </c>
      <c r="Z102" s="32">
        <f t="shared" si="253"/>
        <v>123.25497457719484</v>
      </c>
      <c r="AA102" s="32">
        <f t="shared" si="254"/>
        <v>119.21853197592421</v>
      </c>
      <c r="AB102" s="32">
        <f t="shared" si="255"/>
        <v>115.69749175042321</v>
      </c>
      <c r="AC102" s="32">
        <f t="shared" si="256"/>
        <v>112.65695773678323</v>
      </c>
      <c r="AD102" s="32">
        <f t="shared" si="257"/>
        <v>110.05698232030861</v>
      </c>
      <c r="AE102" s="32">
        <f t="shared" si="258"/>
        <v>107.85301344262038</v>
      </c>
      <c r="AF102" s="32">
        <f t="shared" si="259"/>
        <v>105.99638238448573</v>
      </c>
      <c r="AG102" s="32">
        <f t="shared" si="260"/>
        <v>104.43482701328514</v>
      </c>
      <c r="AH102" s="32">
        <f t="shared" si="261"/>
        <v>103.11304521014017</v>
      </c>
      <c r="AI102" s="32">
        <f t="shared" si="262"/>
        <v>101.9732732550159</v>
      </c>
      <c r="AJ102" s="32">
        <f t="shared" si="263"/>
        <v>100.95588403142658</v>
      </c>
      <c r="AK102" s="31">
        <f t="shared" si="141"/>
        <v>100</v>
      </c>
      <c r="AL102" s="55"/>
      <c r="AM102" s="22">
        <v>6.6666666666666671E-3</v>
      </c>
      <c r="AN102" s="18">
        <f t="shared" si="142"/>
        <v>-1076400000</v>
      </c>
      <c r="AO102" s="20">
        <f t="shared" si="143"/>
        <v>-1031755649.5310231</v>
      </c>
      <c r="AP102" s="20">
        <f t="shared" si="144"/>
        <v>-987342209.34313309</v>
      </c>
      <c r="AQ102" s="20">
        <f t="shared" si="145"/>
        <v>-943387890.61387193</v>
      </c>
      <c r="AR102" s="20">
        <f t="shared" si="146"/>
        <v>-900115543.37265551</v>
      </c>
      <c r="AS102" s="20">
        <f t="shared" si="147"/>
        <v>-857740067.83185887</v>
      </c>
      <c r="AT102" s="20">
        <f t="shared" si="148"/>
        <v>-816465933.94946325</v>
      </c>
      <c r="AU102" s="20">
        <f t="shared" si="149"/>
        <v>-776484841.94619179</v>
      </c>
      <c r="AV102" s="20">
        <f t="shared" si="150"/>
        <v>-737973553.76201689</v>
      </c>
      <c r="AW102" s="20">
        <f t="shared" si="151"/>
        <v>-701091922.1786828</v>
      </c>
      <c r="AX102" s="20">
        <f t="shared" si="152"/>
        <v>-665981140.65555513</v>
      </c>
      <c r="AY102" s="20">
        <f t="shared" si="153"/>
        <v>-632762232.93487525</v>
      </c>
      <c r="AZ102" s="20">
        <f t="shared" si="154"/>
        <v>-601534797.28413069</v>
      </c>
      <c r="BA102" s="20">
        <f t="shared" si="155"/>
        <v>-572376015.97358239</v>
      </c>
      <c r="BB102" s="20">
        <f t="shared" si="156"/>
        <v>-545339936.34832907</v>
      </c>
      <c r="BC102" s="20">
        <f t="shared" si="157"/>
        <v>-520457025.75134164</v>
      </c>
      <c r="BD102" s="20">
        <f t="shared" si="158"/>
        <v>-497733998.67997622</v>
      </c>
      <c r="BE102" s="20">
        <f t="shared" si="159"/>
        <v>-477153910.99254698</v>
      </c>
      <c r="BF102" s="20">
        <f t="shared" si="160"/>
        <v>-458676512.78582782</v>
      </c>
      <c r="BG102" s="20">
        <f t="shared" si="161"/>
        <v>-442238848.78297514</v>
      </c>
      <c r="BH102" s="20">
        <f t="shared" si="162"/>
        <v>-427756092.72961605</v>
      </c>
      <c r="BI102" s="20">
        <f t="shared" si="163"/>
        <v>-415122600.40051842</v>
      </c>
      <c r="BJ102" s="20">
        <f t="shared" si="164"/>
        <v>-404213164.35957819</v>
      </c>
      <c r="BK102" s="20">
        <f t="shared" si="165"/>
        <v>-394884452.56526726</v>
      </c>
      <c r="BL102" s="20">
        <f t="shared" si="166"/>
        <v>-386976612.23212183</v>
      </c>
      <c r="BM102" s="20">
        <f t="shared" si="167"/>
        <v>-380315019.99553472</v>
      </c>
      <c r="BN102" s="20">
        <f t="shared" si="168"/>
        <v>-374712159.32366711</v>
      </c>
      <c r="BO102" s="20">
        <f t="shared" si="169"/>
        <v>-369969606.21398294</v>
      </c>
      <c r="BP102" s="20">
        <f t="shared" si="170"/>
        <v>-365880104.43899703</v>
      </c>
      <c r="BQ102" s="20">
        <f t="shared" si="171"/>
        <v>-362229711.90475857</v>
      </c>
      <c r="BR102" s="18">
        <f t="shared" si="172"/>
        <v>-358800000</v>
      </c>
      <c r="BT102" s="52"/>
      <c r="BU102" s="22">
        <v>6.6666666666666671E-3</v>
      </c>
      <c r="BV102" s="18">
        <f t="shared" si="173"/>
        <v>0.42900919305413682</v>
      </c>
      <c r="BW102" s="20">
        <f t="shared" si="174"/>
        <v>0.42900919305413682</v>
      </c>
      <c r="BX102" s="20">
        <f t="shared" si="175"/>
        <v>0.42900919305413682</v>
      </c>
      <c r="BY102" s="20">
        <f t="shared" si="176"/>
        <v>0.42900919305413682</v>
      </c>
      <c r="BZ102" s="20">
        <f t="shared" si="177"/>
        <v>0.42900919305413682</v>
      </c>
      <c r="CA102" s="20">
        <f t="shared" si="178"/>
        <v>0.42900919305413682</v>
      </c>
      <c r="CB102" s="20">
        <f t="shared" si="179"/>
        <v>0.42900919305413682</v>
      </c>
      <c r="CC102" s="20">
        <f t="shared" si="180"/>
        <v>0.42900919305413682</v>
      </c>
      <c r="CD102" s="20">
        <f t="shared" si="181"/>
        <v>0.42900919305413682</v>
      </c>
      <c r="CE102" s="20">
        <f t="shared" si="182"/>
        <v>0.42900919305413682</v>
      </c>
      <c r="CF102" s="20">
        <f t="shared" si="183"/>
        <v>0.42900919305413682</v>
      </c>
      <c r="CG102" s="20">
        <f t="shared" si="184"/>
        <v>0.42900919305413682</v>
      </c>
      <c r="CH102" s="20">
        <f t="shared" si="185"/>
        <v>0.42900919305413682</v>
      </c>
      <c r="CI102" s="20">
        <f t="shared" si="186"/>
        <v>0.42900919305413682</v>
      </c>
      <c r="CJ102" s="20">
        <f t="shared" si="187"/>
        <v>0.42900919305413682</v>
      </c>
      <c r="CK102" s="20">
        <f t="shared" si="188"/>
        <v>0.42900919305413682</v>
      </c>
      <c r="CL102" s="20">
        <f t="shared" si="189"/>
        <v>0.42900919305413682</v>
      </c>
      <c r="CM102" s="20">
        <f t="shared" si="190"/>
        <v>0.42900919305413682</v>
      </c>
      <c r="CN102" s="20">
        <f t="shared" si="191"/>
        <v>0.42900919305413682</v>
      </c>
      <c r="CO102" s="20">
        <f t="shared" si="192"/>
        <v>0.42900919305413682</v>
      </c>
      <c r="CP102" s="20">
        <f t="shared" si="193"/>
        <v>0.42900919305413682</v>
      </c>
      <c r="CQ102" s="20">
        <f t="shared" si="194"/>
        <v>0.42900919305413682</v>
      </c>
      <c r="CR102" s="20">
        <f t="shared" si="195"/>
        <v>0.42900919305413682</v>
      </c>
      <c r="CS102" s="20">
        <f t="shared" si="196"/>
        <v>0.42900919305413682</v>
      </c>
      <c r="CT102" s="20">
        <f t="shared" si="197"/>
        <v>0.42900919305413682</v>
      </c>
      <c r="CU102" s="20">
        <f t="shared" si="198"/>
        <v>0.42900919305413682</v>
      </c>
      <c r="CV102" s="20">
        <f t="shared" si="199"/>
        <v>0.42900919305413682</v>
      </c>
      <c r="CW102" s="20">
        <f t="shared" si="200"/>
        <v>0.42900919305413682</v>
      </c>
      <c r="CX102" s="20">
        <f t="shared" si="201"/>
        <v>0.42900919305413682</v>
      </c>
      <c r="CY102" s="20">
        <f t="shared" si="202"/>
        <v>0.42900919305413682</v>
      </c>
      <c r="CZ102" s="18">
        <f t="shared" si="203"/>
        <v>0.42900919305413682</v>
      </c>
      <c r="DB102" s="52"/>
      <c r="DC102" s="22">
        <v>6.6666666666666671E-3</v>
      </c>
      <c r="DD102" s="18">
        <f t="shared" si="204"/>
        <v>171.29724208375893</v>
      </c>
      <c r="DE102" s="20">
        <f t="shared" si="205"/>
        <v>164.19258386194872</v>
      </c>
      <c r="DF102" s="20">
        <f t="shared" si="206"/>
        <v>157.12467247618366</v>
      </c>
      <c r="DG102" s="20">
        <f t="shared" si="207"/>
        <v>150.12982522981338</v>
      </c>
      <c r="DH102" s="20">
        <f t="shared" si="208"/>
        <v>143.243506258324</v>
      </c>
      <c r="DI102" s="20">
        <f t="shared" si="209"/>
        <v>136.49991457110158</v>
      </c>
      <c r="DJ102" s="20">
        <f t="shared" si="210"/>
        <v>129.93158931706014</v>
      </c>
      <c r="DK102" s="20">
        <f t="shared" si="211"/>
        <v>123.56903748162962</v>
      </c>
      <c r="DL102" s="20">
        <f t="shared" si="212"/>
        <v>117.44038878686743</v>
      </c>
      <c r="DM102" s="20">
        <f t="shared" si="213"/>
        <v>111.57108204794659</v>
      </c>
      <c r="DN102" s="20">
        <f t="shared" si="214"/>
        <v>105.98358665374631</v>
      </c>
      <c r="DO102" s="20">
        <f t="shared" si="215"/>
        <v>100.69716220411111</v>
      </c>
      <c r="DP102" s="20">
        <f t="shared" si="216"/>
        <v>95.727658669811035</v>
      </c>
      <c r="DQ102" s="20">
        <f t="shared" si="217"/>
        <v>91.087358761765344</v>
      </c>
      <c r="DR102" s="20">
        <f t="shared" si="218"/>
        <v>86.784863521554641</v>
      </c>
      <c r="DS102" s="20">
        <f t="shared" si="219"/>
        <v>82.825021492308366</v>
      </c>
      <c r="DT102" s="20">
        <f t="shared" si="220"/>
        <v>79.208901212561543</v>
      </c>
      <c r="DU102" s="20">
        <f t="shared" si="221"/>
        <v>75.933806208196486</v>
      </c>
      <c r="DV102" s="20">
        <f t="shared" si="222"/>
        <v>72.993331149022936</v>
      </c>
      <c r="DW102" s="20">
        <f t="shared" si="223"/>
        <v>70.377457393924331</v>
      </c>
      <c r="DX102" s="20">
        <f t="shared" si="224"/>
        <v>68.072685775834145</v>
      </c>
      <c r="DY102" s="20">
        <f t="shared" si="225"/>
        <v>66.062204176186484</v>
      </c>
      <c r="DZ102" s="20">
        <f t="shared" si="226"/>
        <v>64.326087206191843</v>
      </c>
      <c r="EA102" s="20">
        <f t="shared" si="227"/>
        <v>62.841525145099602</v>
      </c>
      <c r="EB102" s="20">
        <f t="shared" si="228"/>
        <v>61.583079177144825</v>
      </c>
      <c r="EC102" s="20">
        <f t="shared" si="229"/>
        <v>60.522959911059772</v>
      </c>
      <c r="ED102" s="20">
        <f t="shared" si="230"/>
        <v>59.631326149567307</v>
      </c>
      <c r="EE102" s="20">
        <f t="shared" si="231"/>
        <v>58.876600891183209</v>
      </c>
      <c r="EF102" s="20">
        <f t="shared" si="232"/>
        <v>58.225801582792535</v>
      </c>
      <c r="EG102" s="20">
        <f t="shared" si="233"/>
        <v>57.644881689037241</v>
      </c>
      <c r="EH102" s="18">
        <f t="shared" si="234"/>
        <v>57.09908069458632</v>
      </c>
    </row>
    <row r="103" spans="5:138" x14ac:dyDescent="0.3">
      <c r="E103" s="54"/>
      <c r="F103" s="22">
        <v>3.3333333333333335E-3</v>
      </c>
      <c r="G103" s="31">
        <f t="shared" si="139"/>
        <v>300</v>
      </c>
      <c r="H103" s="32">
        <f t="shared" si="235"/>
        <v>287.55731592280461</v>
      </c>
      <c r="I103" s="32">
        <f t="shared" si="236"/>
        <v>275.1789881112411</v>
      </c>
      <c r="J103" s="32">
        <f t="shared" si="237"/>
        <v>262.92862057242809</v>
      </c>
      <c r="K103" s="32">
        <f t="shared" si="238"/>
        <v>250.8683231250433</v>
      </c>
      <c r="L103" s="32">
        <f t="shared" si="239"/>
        <v>239.05798991969309</v>
      </c>
      <c r="M103" s="32">
        <f t="shared" si="240"/>
        <v>227.55460812415365</v>
      </c>
      <c r="N103" s="32">
        <f t="shared" si="241"/>
        <v>216.41160589358748</v>
      </c>
      <c r="O103" s="32">
        <f t="shared" si="242"/>
        <v>205.67824798272494</v>
      </c>
      <c r="P103" s="32">
        <f t="shared" si="243"/>
        <v>195.39908644890829</v>
      </c>
      <c r="Q103" s="32">
        <f t="shared" si="244"/>
        <v>185.61347286944124</v>
      </c>
      <c r="R103" s="32">
        <f t="shared" si="245"/>
        <v>176.35513738430194</v>
      </c>
      <c r="S103" s="32">
        <f t="shared" si="246"/>
        <v>167.6518387079517</v>
      </c>
      <c r="T103" s="32">
        <f t="shared" si="247"/>
        <v>159.52508806398617</v>
      </c>
      <c r="U103" s="32">
        <f t="shared" si="248"/>
        <v>151.9899488150304</v>
      </c>
      <c r="V103" s="32">
        <f t="shared" si="249"/>
        <v>145.05491241676188</v>
      </c>
      <c r="W103" s="32">
        <f t="shared" si="250"/>
        <v>138.72185024525538</v>
      </c>
      <c r="X103" s="32">
        <f t="shared" si="251"/>
        <v>132.98603985299528</v>
      </c>
      <c r="Y103" s="32">
        <f t="shared" si="252"/>
        <v>127.83626331823517</v>
      </c>
      <c r="Z103" s="32">
        <f t="shared" si="253"/>
        <v>123.25497457719484</v>
      </c>
      <c r="AA103" s="32">
        <f t="shared" si="254"/>
        <v>119.21853197592421</v>
      </c>
      <c r="AB103" s="32">
        <f t="shared" si="255"/>
        <v>115.69749175042321</v>
      </c>
      <c r="AC103" s="32">
        <f t="shared" si="256"/>
        <v>112.65695773678323</v>
      </c>
      <c r="AD103" s="32">
        <f t="shared" si="257"/>
        <v>110.05698232030861</v>
      </c>
      <c r="AE103" s="32">
        <f t="shared" si="258"/>
        <v>107.85301344262038</v>
      </c>
      <c r="AF103" s="32">
        <f t="shared" si="259"/>
        <v>105.99638238448571</v>
      </c>
      <c r="AG103" s="32">
        <f t="shared" si="260"/>
        <v>104.43482701328514</v>
      </c>
      <c r="AH103" s="32">
        <f t="shared" si="261"/>
        <v>103.11304521014017</v>
      </c>
      <c r="AI103" s="32">
        <f t="shared" si="262"/>
        <v>101.9732732550159</v>
      </c>
      <c r="AJ103" s="32">
        <f t="shared" si="263"/>
        <v>100.95588403142658</v>
      </c>
      <c r="AK103" s="31">
        <f t="shared" si="141"/>
        <v>100</v>
      </c>
      <c r="AL103" s="55"/>
      <c r="AM103" s="22">
        <v>3.3333333333333335E-3</v>
      </c>
      <c r="AN103" s="18">
        <f t="shared" si="142"/>
        <v>-1076400000</v>
      </c>
      <c r="AO103" s="20">
        <f t="shared" si="143"/>
        <v>-1031755649.5310231</v>
      </c>
      <c r="AP103" s="20">
        <f t="shared" si="144"/>
        <v>-987342209.34313309</v>
      </c>
      <c r="AQ103" s="20">
        <f t="shared" si="145"/>
        <v>-943387890.61387193</v>
      </c>
      <c r="AR103" s="20">
        <f t="shared" si="146"/>
        <v>-900115543.37265527</v>
      </c>
      <c r="AS103" s="20">
        <f t="shared" si="147"/>
        <v>-857740067.83185863</v>
      </c>
      <c r="AT103" s="20">
        <f t="shared" si="148"/>
        <v>-816465933.94946313</v>
      </c>
      <c r="AU103" s="20">
        <f t="shared" si="149"/>
        <v>-776484841.94619179</v>
      </c>
      <c r="AV103" s="20">
        <f t="shared" si="150"/>
        <v>-737973553.76201689</v>
      </c>
      <c r="AW103" s="20">
        <f t="shared" si="151"/>
        <v>-701091922.1786828</v>
      </c>
      <c r="AX103" s="20">
        <f t="shared" si="152"/>
        <v>-665981140.65555513</v>
      </c>
      <c r="AY103" s="20">
        <f t="shared" si="153"/>
        <v>-632762232.93487525</v>
      </c>
      <c r="AZ103" s="20">
        <f t="shared" si="154"/>
        <v>-601534797.28413069</v>
      </c>
      <c r="BA103" s="20">
        <f t="shared" si="155"/>
        <v>-572376015.97358239</v>
      </c>
      <c r="BB103" s="20">
        <f t="shared" si="156"/>
        <v>-545339936.34832907</v>
      </c>
      <c r="BC103" s="20">
        <f t="shared" si="157"/>
        <v>-520457025.75134164</v>
      </c>
      <c r="BD103" s="20">
        <f t="shared" si="158"/>
        <v>-497733998.67997622</v>
      </c>
      <c r="BE103" s="20">
        <f t="shared" si="159"/>
        <v>-477153910.99254698</v>
      </c>
      <c r="BF103" s="20">
        <f t="shared" si="160"/>
        <v>-458676512.78582782</v>
      </c>
      <c r="BG103" s="20">
        <f t="shared" si="161"/>
        <v>-442238848.78297514</v>
      </c>
      <c r="BH103" s="20">
        <f t="shared" si="162"/>
        <v>-427756092.72961605</v>
      </c>
      <c r="BI103" s="20">
        <f t="shared" si="163"/>
        <v>-415122600.40051842</v>
      </c>
      <c r="BJ103" s="20">
        <f t="shared" si="164"/>
        <v>-404213164.35957819</v>
      </c>
      <c r="BK103" s="20">
        <f t="shared" si="165"/>
        <v>-394884452.56526726</v>
      </c>
      <c r="BL103" s="20">
        <f t="shared" si="166"/>
        <v>-386976612.23212183</v>
      </c>
      <c r="BM103" s="20">
        <f t="shared" si="167"/>
        <v>-380315019.99553472</v>
      </c>
      <c r="BN103" s="20">
        <f t="shared" si="168"/>
        <v>-374712159.32366711</v>
      </c>
      <c r="BO103" s="20">
        <f t="shared" si="169"/>
        <v>-369969606.21398294</v>
      </c>
      <c r="BP103" s="20">
        <f t="shared" si="170"/>
        <v>-365880104.43899703</v>
      </c>
      <c r="BQ103" s="20">
        <f t="shared" si="171"/>
        <v>-362229711.90475857</v>
      </c>
      <c r="BR103" s="18">
        <f t="shared" si="172"/>
        <v>-358800000</v>
      </c>
      <c r="BT103" s="52"/>
      <c r="BU103" s="22">
        <v>3.3333333333333335E-3</v>
      </c>
      <c r="BV103" s="18">
        <f t="shared" si="173"/>
        <v>0.5357142857142857</v>
      </c>
      <c r="BW103" s="20">
        <f t="shared" si="174"/>
        <v>0.5357142857142857</v>
      </c>
      <c r="BX103" s="20">
        <f t="shared" si="175"/>
        <v>0.5357142857142857</v>
      </c>
      <c r="BY103" s="20">
        <f t="shared" si="176"/>
        <v>0.5357142857142857</v>
      </c>
      <c r="BZ103" s="20">
        <f t="shared" si="177"/>
        <v>0.5357142857142857</v>
      </c>
      <c r="CA103" s="20">
        <f t="shared" si="178"/>
        <v>0.5357142857142857</v>
      </c>
      <c r="CB103" s="20">
        <f t="shared" si="179"/>
        <v>0.5357142857142857</v>
      </c>
      <c r="CC103" s="20">
        <f t="shared" si="180"/>
        <v>0.5357142857142857</v>
      </c>
      <c r="CD103" s="20">
        <f t="shared" si="181"/>
        <v>0.5357142857142857</v>
      </c>
      <c r="CE103" s="20">
        <f t="shared" si="182"/>
        <v>0.5357142857142857</v>
      </c>
      <c r="CF103" s="20">
        <f t="shared" si="183"/>
        <v>0.5357142857142857</v>
      </c>
      <c r="CG103" s="20">
        <f t="shared" si="184"/>
        <v>0.5357142857142857</v>
      </c>
      <c r="CH103" s="20">
        <f t="shared" si="185"/>
        <v>0.5357142857142857</v>
      </c>
      <c r="CI103" s="20">
        <f t="shared" si="186"/>
        <v>0.5357142857142857</v>
      </c>
      <c r="CJ103" s="20">
        <f t="shared" si="187"/>
        <v>0.5357142857142857</v>
      </c>
      <c r="CK103" s="20">
        <f t="shared" si="188"/>
        <v>0.5357142857142857</v>
      </c>
      <c r="CL103" s="20">
        <f t="shared" si="189"/>
        <v>0.5357142857142857</v>
      </c>
      <c r="CM103" s="20">
        <f t="shared" si="190"/>
        <v>0.5357142857142857</v>
      </c>
      <c r="CN103" s="20">
        <f t="shared" si="191"/>
        <v>0.5357142857142857</v>
      </c>
      <c r="CO103" s="20">
        <f t="shared" si="192"/>
        <v>0.5357142857142857</v>
      </c>
      <c r="CP103" s="20">
        <f t="shared" si="193"/>
        <v>0.5357142857142857</v>
      </c>
      <c r="CQ103" s="20">
        <f t="shared" si="194"/>
        <v>0.5357142857142857</v>
      </c>
      <c r="CR103" s="20">
        <f t="shared" si="195"/>
        <v>0.5357142857142857</v>
      </c>
      <c r="CS103" s="20">
        <f t="shared" si="196"/>
        <v>0.5357142857142857</v>
      </c>
      <c r="CT103" s="20">
        <f t="shared" si="197"/>
        <v>0.5357142857142857</v>
      </c>
      <c r="CU103" s="20">
        <f t="shared" si="198"/>
        <v>0.5357142857142857</v>
      </c>
      <c r="CV103" s="20">
        <f t="shared" si="199"/>
        <v>0.5357142857142857</v>
      </c>
      <c r="CW103" s="20">
        <f t="shared" si="200"/>
        <v>0.5357142857142857</v>
      </c>
      <c r="CX103" s="20">
        <f t="shared" si="201"/>
        <v>0.5357142857142857</v>
      </c>
      <c r="CY103" s="20">
        <f t="shared" si="202"/>
        <v>0.5357142857142857</v>
      </c>
      <c r="CZ103" s="18">
        <f t="shared" si="203"/>
        <v>0.5357142857142857</v>
      </c>
      <c r="DB103" s="52"/>
      <c r="DC103" s="22">
        <v>3.3333333333333335E-3</v>
      </c>
      <c r="DD103" s="18">
        <f t="shared" si="204"/>
        <v>139.28571428571431</v>
      </c>
      <c r="DE103" s="20">
        <f t="shared" si="205"/>
        <v>133.50875382130218</v>
      </c>
      <c r="DF103" s="20">
        <f t="shared" si="206"/>
        <v>127.76167305164768</v>
      </c>
      <c r="DG103" s="20">
        <f t="shared" si="207"/>
        <v>122.07400240862734</v>
      </c>
      <c r="DH103" s="20">
        <f t="shared" si="208"/>
        <v>116.4745785937701</v>
      </c>
      <c r="DI103" s="20">
        <f t="shared" si="209"/>
        <v>110.99120960557178</v>
      </c>
      <c r="DJ103" s="20">
        <f t="shared" si="210"/>
        <v>105.65035377192847</v>
      </c>
      <c r="DK103" s="20">
        <f t="shared" si="211"/>
        <v>100.47681702202276</v>
      </c>
      <c r="DL103" s="20">
        <f t="shared" si="212"/>
        <v>95.493472277693712</v>
      </c>
      <c r="DM103" s="20">
        <f t="shared" si="213"/>
        <v>90.721004422707409</v>
      </c>
      <c r="DN103" s="20">
        <f t="shared" si="214"/>
        <v>86.177683832240575</v>
      </c>
      <c r="DO103" s="20">
        <f t="shared" si="215"/>
        <v>81.879170928425893</v>
      </c>
      <c r="DP103" s="20">
        <f t="shared" si="216"/>
        <v>77.838353685834733</v>
      </c>
      <c r="DQ103" s="20">
        <f t="shared" si="217"/>
        <v>74.065219458279302</v>
      </c>
      <c r="DR103" s="20">
        <f t="shared" si="218"/>
        <v>70.566761949835552</v>
      </c>
      <c r="DS103" s="20">
        <f t="shared" si="219"/>
        <v>67.346923622068019</v>
      </c>
      <c r="DT103" s="20">
        <f t="shared" si="220"/>
        <v>64.40657332815428</v>
      </c>
      <c r="DU103" s="20">
        <f t="shared" si="221"/>
        <v>61.743518503176375</v>
      </c>
      <c r="DV103" s="20">
        <f t="shared" si="222"/>
        <v>59.35255082632348</v>
      </c>
      <c r="DW103" s="20">
        <f t="shared" si="223"/>
        <v>57.225523910840472</v>
      </c>
      <c r="DX103" s="20">
        <f t="shared" si="224"/>
        <v>55.351461274536241</v>
      </c>
      <c r="DY103" s="20">
        <f t="shared" si="225"/>
        <v>53.716692598410773</v>
      </c>
      <c r="DZ103" s="20">
        <f t="shared" si="226"/>
        <v>52.305016092077928</v>
      </c>
      <c r="EA103" s="20">
        <f t="shared" si="227"/>
        <v>51.097884648714711</v>
      </c>
      <c r="EB103" s="20">
        <f t="shared" si="228"/>
        <v>50.074613384073743</v>
      </c>
      <c r="EC103" s="20">
        <f t="shared" si="229"/>
        <v>49.212606107082657</v>
      </c>
      <c r="ED103" s="20">
        <f t="shared" si="230"/>
        <v>48.487598256168113</v>
      </c>
      <c r="EE103" s="20">
        <f t="shared" si="231"/>
        <v>47.873913847565085</v>
      </c>
      <c r="EF103" s="20">
        <f t="shared" si="232"/>
        <v>47.344734011257387</v>
      </c>
      <c r="EG103" s="20">
        <f t="shared" si="233"/>
        <v>46.872374728876629</v>
      </c>
      <c r="EH103" s="18">
        <f t="shared" si="234"/>
        <v>46.428571428571438</v>
      </c>
    </row>
    <row r="104" spans="5:138" x14ac:dyDescent="0.3">
      <c r="E104" s="54"/>
      <c r="F104" s="22">
        <v>0</v>
      </c>
      <c r="G104" s="31">
        <f t="shared" si="139"/>
        <v>300</v>
      </c>
      <c r="H104" s="31">
        <f t="shared" si="235"/>
        <v>287.55731592280461</v>
      </c>
      <c r="I104" s="31">
        <f t="shared" si="236"/>
        <v>275.1789881112411</v>
      </c>
      <c r="J104" s="31">
        <f t="shared" si="237"/>
        <v>262.92862057242809</v>
      </c>
      <c r="K104" s="31">
        <f t="shared" si="238"/>
        <v>250.8683231250433</v>
      </c>
      <c r="L104" s="31">
        <f t="shared" si="239"/>
        <v>239.05798991969309</v>
      </c>
      <c r="M104" s="31">
        <f t="shared" si="240"/>
        <v>227.55460812415365</v>
      </c>
      <c r="N104" s="31">
        <f t="shared" si="241"/>
        <v>216.41160589358748</v>
      </c>
      <c r="O104" s="31">
        <f t="shared" si="242"/>
        <v>205.67824798272494</v>
      </c>
      <c r="P104" s="31">
        <f t="shared" si="243"/>
        <v>195.39908644890829</v>
      </c>
      <c r="Q104" s="31">
        <f t="shared" si="244"/>
        <v>185.61347286944124</v>
      </c>
      <c r="R104" s="31">
        <f t="shared" si="245"/>
        <v>176.35513738430194</v>
      </c>
      <c r="S104" s="31">
        <f t="shared" si="246"/>
        <v>167.6518387079517</v>
      </c>
      <c r="T104" s="31">
        <f t="shared" si="247"/>
        <v>159.52508806398617</v>
      </c>
      <c r="U104" s="31">
        <f t="shared" si="248"/>
        <v>151.9899488150304</v>
      </c>
      <c r="V104" s="31">
        <f t="shared" si="249"/>
        <v>145.05491241676188</v>
      </c>
      <c r="W104" s="31">
        <f t="shared" si="250"/>
        <v>138.72185024525538</v>
      </c>
      <c r="X104" s="31">
        <f t="shared" si="251"/>
        <v>132.98603985299528</v>
      </c>
      <c r="Y104" s="31">
        <f t="shared" si="252"/>
        <v>127.83626331823517</v>
      </c>
      <c r="Z104" s="31">
        <f t="shared" si="253"/>
        <v>123.25497457719484</v>
      </c>
      <c r="AA104" s="31">
        <f t="shared" si="254"/>
        <v>119.21853197592421</v>
      </c>
      <c r="AB104" s="31">
        <f t="shared" si="255"/>
        <v>115.69749175042321</v>
      </c>
      <c r="AC104" s="31">
        <f t="shared" si="256"/>
        <v>112.65695773678323</v>
      </c>
      <c r="AD104" s="31">
        <f t="shared" si="257"/>
        <v>110.05698232030861</v>
      </c>
      <c r="AE104" s="31">
        <f t="shared" si="258"/>
        <v>107.85301344262038</v>
      </c>
      <c r="AF104" s="31">
        <f t="shared" si="259"/>
        <v>105.99638238448571</v>
      </c>
      <c r="AG104" s="31">
        <f t="shared" si="260"/>
        <v>104.43482701328514</v>
      </c>
      <c r="AH104" s="31">
        <f t="shared" si="261"/>
        <v>103.11304521014017</v>
      </c>
      <c r="AI104" s="31">
        <f t="shared" si="262"/>
        <v>101.9732732550159</v>
      </c>
      <c r="AJ104" s="31">
        <f t="shared" si="263"/>
        <v>100.95588403142658</v>
      </c>
      <c r="AK104" s="31">
        <f t="shared" si="141"/>
        <v>100</v>
      </c>
      <c r="AL104" s="55"/>
      <c r="AM104" s="22">
        <v>0</v>
      </c>
      <c r="AN104" s="18">
        <f t="shared" si="142"/>
        <v>-1076400000</v>
      </c>
      <c r="AO104" s="18">
        <f t="shared" si="143"/>
        <v>-1031755649.5310231</v>
      </c>
      <c r="AP104" s="18">
        <f t="shared" si="144"/>
        <v>-987342209.34313309</v>
      </c>
      <c r="AQ104" s="18">
        <f t="shared" si="145"/>
        <v>-943387890.61387193</v>
      </c>
      <c r="AR104" s="18">
        <f t="shared" si="146"/>
        <v>-900115543.37265527</v>
      </c>
      <c r="AS104" s="18">
        <f t="shared" si="147"/>
        <v>-857740067.83185863</v>
      </c>
      <c r="AT104" s="18">
        <f t="shared" si="148"/>
        <v>-816465933.94946313</v>
      </c>
      <c r="AU104" s="18">
        <f t="shared" si="149"/>
        <v>-776484841.94619179</v>
      </c>
      <c r="AV104" s="18">
        <f t="shared" si="150"/>
        <v>-737973553.76201689</v>
      </c>
      <c r="AW104" s="18">
        <f t="shared" si="151"/>
        <v>-701091922.1786828</v>
      </c>
      <c r="AX104" s="18">
        <f t="shared" si="152"/>
        <v>-665981140.65555513</v>
      </c>
      <c r="AY104" s="18">
        <f t="shared" si="153"/>
        <v>-632762232.93487525</v>
      </c>
      <c r="AZ104" s="18">
        <f t="shared" si="154"/>
        <v>-601534797.28413069</v>
      </c>
      <c r="BA104" s="18">
        <f t="shared" si="155"/>
        <v>-572376015.97358239</v>
      </c>
      <c r="BB104" s="18">
        <f t="shared" si="156"/>
        <v>-545339936.34832907</v>
      </c>
      <c r="BC104" s="18">
        <f t="shared" si="157"/>
        <v>-520457025.75134164</v>
      </c>
      <c r="BD104" s="18">
        <f t="shared" si="158"/>
        <v>-497733998.67997622</v>
      </c>
      <c r="BE104" s="18">
        <f t="shared" si="159"/>
        <v>-477153910.99254698</v>
      </c>
      <c r="BF104" s="18">
        <f t="shared" si="160"/>
        <v>-458676512.78582782</v>
      </c>
      <c r="BG104" s="18">
        <f t="shared" si="161"/>
        <v>-442238848.78297514</v>
      </c>
      <c r="BH104" s="18">
        <f t="shared" si="162"/>
        <v>-427756092.72961605</v>
      </c>
      <c r="BI104" s="18">
        <f t="shared" si="163"/>
        <v>-415122600.40051842</v>
      </c>
      <c r="BJ104" s="18">
        <f t="shared" si="164"/>
        <v>-404213164.35957819</v>
      </c>
      <c r="BK104" s="18">
        <f t="shared" si="165"/>
        <v>-394884452.56526726</v>
      </c>
      <c r="BL104" s="18">
        <f t="shared" si="166"/>
        <v>-386976612.23212183</v>
      </c>
      <c r="BM104" s="18">
        <f t="shared" si="167"/>
        <v>-380315019.99553472</v>
      </c>
      <c r="BN104" s="18">
        <f t="shared" si="168"/>
        <v>-374712159.32366711</v>
      </c>
      <c r="BO104" s="18">
        <f t="shared" si="169"/>
        <v>-369969606.21398294</v>
      </c>
      <c r="BP104" s="18">
        <f t="shared" si="170"/>
        <v>-365880104.43899703</v>
      </c>
      <c r="BQ104" s="18">
        <f t="shared" si="171"/>
        <v>-362229711.90475857</v>
      </c>
      <c r="BR104" s="18">
        <f t="shared" si="172"/>
        <v>-358800000</v>
      </c>
      <c r="BT104" s="52"/>
      <c r="BU104" s="22">
        <v>0</v>
      </c>
      <c r="BV104" s="18">
        <v>1</v>
      </c>
      <c r="BW104" s="18">
        <v>1</v>
      </c>
      <c r="BX104" s="18">
        <v>1</v>
      </c>
      <c r="BY104" s="18">
        <v>1</v>
      </c>
      <c r="BZ104" s="18">
        <v>1</v>
      </c>
      <c r="CA104" s="18">
        <v>1</v>
      </c>
      <c r="CB104" s="18">
        <v>1</v>
      </c>
      <c r="CC104" s="18">
        <v>1</v>
      </c>
      <c r="CD104" s="18">
        <v>1</v>
      </c>
      <c r="CE104" s="18">
        <v>1</v>
      </c>
      <c r="CF104" s="18">
        <v>1</v>
      </c>
      <c r="CG104" s="18">
        <v>1</v>
      </c>
      <c r="CH104" s="18">
        <v>1</v>
      </c>
      <c r="CI104" s="18">
        <v>1</v>
      </c>
      <c r="CJ104" s="18">
        <v>1</v>
      </c>
      <c r="CK104" s="18">
        <v>1</v>
      </c>
      <c r="CL104" s="18">
        <v>1</v>
      </c>
      <c r="CM104" s="18">
        <v>1</v>
      </c>
      <c r="CN104" s="18">
        <v>1</v>
      </c>
      <c r="CO104" s="18">
        <v>1</v>
      </c>
      <c r="CP104" s="18">
        <v>1</v>
      </c>
      <c r="CQ104" s="18">
        <v>1</v>
      </c>
      <c r="CR104" s="18">
        <v>1</v>
      </c>
      <c r="CS104" s="18">
        <v>1</v>
      </c>
      <c r="CT104" s="18">
        <v>1</v>
      </c>
      <c r="CU104" s="18">
        <v>1</v>
      </c>
      <c r="CV104" s="18">
        <v>1</v>
      </c>
      <c r="CW104" s="18">
        <v>1</v>
      </c>
      <c r="CX104" s="18">
        <v>1</v>
      </c>
      <c r="CY104" s="18">
        <v>1</v>
      </c>
      <c r="CZ104" s="18">
        <v>1</v>
      </c>
      <c r="DB104" s="52"/>
      <c r="DC104" s="22">
        <v>0</v>
      </c>
      <c r="DD104" s="18">
        <v>0</v>
      </c>
      <c r="DE104" s="18">
        <v>0</v>
      </c>
      <c r="DF104" s="18">
        <v>0</v>
      </c>
      <c r="DG104" s="18">
        <v>0</v>
      </c>
      <c r="DH104" s="18">
        <v>0</v>
      </c>
      <c r="DI104" s="18">
        <v>0</v>
      </c>
      <c r="DJ104" s="18">
        <v>0</v>
      </c>
      <c r="DK104" s="18">
        <v>0</v>
      </c>
      <c r="DL104" s="18">
        <v>0</v>
      </c>
      <c r="DM104" s="18">
        <v>0</v>
      </c>
      <c r="DN104" s="18">
        <v>0</v>
      </c>
      <c r="DO104" s="18">
        <v>0</v>
      </c>
      <c r="DP104" s="18">
        <v>0</v>
      </c>
      <c r="DQ104" s="18">
        <v>0</v>
      </c>
      <c r="DR104" s="18">
        <v>0</v>
      </c>
      <c r="DS104" s="18">
        <v>0</v>
      </c>
      <c r="DT104" s="18">
        <v>0</v>
      </c>
      <c r="DU104" s="18">
        <v>0</v>
      </c>
      <c r="DV104" s="18">
        <v>0</v>
      </c>
      <c r="DW104" s="18">
        <v>0</v>
      </c>
      <c r="DX104" s="18">
        <v>0</v>
      </c>
      <c r="DY104" s="18">
        <v>0</v>
      </c>
      <c r="DZ104" s="18">
        <v>0</v>
      </c>
      <c r="EA104" s="18">
        <v>0</v>
      </c>
      <c r="EB104" s="18">
        <v>0</v>
      </c>
      <c r="EC104" s="18">
        <v>0</v>
      </c>
      <c r="ED104" s="18">
        <v>0</v>
      </c>
      <c r="EE104" s="18">
        <v>0</v>
      </c>
      <c r="EF104" s="18">
        <v>0</v>
      </c>
      <c r="EG104" s="18">
        <v>0</v>
      </c>
      <c r="EH104" s="18">
        <v>0</v>
      </c>
    </row>
    <row r="105" spans="5:138" x14ac:dyDescent="0.3">
      <c r="AM105" s="9"/>
    </row>
    <row r="106" spans="5:138" x14ac:dyDescent="0.3">
      <c r="AM106" s="9"/>
    </row>
    <row r="107" spans="5:138" x14ac:dyDescent="0.3">
      <c r="AM107" s="9"/>
    </row>
    <row r="108" spans="5:138" x14ac:dyDescent="0.3">
      <c r="AM108" s="9"/>
    </row>
    <row r="109" spans="5:138" x14ac:dyDescent="0.3">
      <c r="AM109" s="9"/>
    </row>
    <row r="110" spans="5:138" x14ac:dyDescent="0.3">
      <c r="AM110" s="9"/>
    </row>
    <row r="111" spans="5:138" x14ac:dyDescent="0.3">
      <c r="AM111" s="9"/>
    </row>
    <row r="112" spans="5:138" x14ac:dyDescent="0.3">
      <c r="AM112" s="9"/>
    </row>
    <row r="113" spans="39:39" x14ac:dyDescent="0.3">
      <c r="AM113" s="9"/>
    </row>
    <row r="114" spans="39:39" x14ac:dyDescent="0.3">
      <c r="AM114" s="9"/>
    </row>
    <row r="115" spans="39:39" x14ac:dyDescent="0.3">
      <c r="AM115" s="9"/>
    </row>
    <row r="116" spans="39:39" x14ac:dyDescent="0.3">
      <c r="AM116" s="9"/>
    </row>
    <row r="117" spans="39:39" x14ac:dyDescent="0.3">
      <c r="AM117" s="9"/>
    </row>
    <row r="118" spans="39:39" x14ac:dyDescent="0.3">
      <c r="AM118" s="9"/>
    </row>
    <row r="119" spans="39:39" x14ac:dyDescent="0.3">
      <c r="AM119" s="9"/>
    </row>
    <row r="120" spans="39:39" x14ac:dyDescent="0.3">
      <c r="AM120" s="9"/>
    </row>
    <row r="121" spans="39:39" x14ac:dyDescent="0.3">
      <c r="AM121" s="9"/>
    </row>
    <row r="122" spans="39:39" x14ac:dyDescent="0.3">
      <c r="AM122" s="9"/>
    </row>
    <row r="123" spans="39:39" x14ac:dyDescent="0.3">
      <c r="AM123" s="9"/>
    </row>
    <row r="124" spans="39:39" x14ac:dyDescent="0.3">
      <c r="AM124" s="9"/>
    </row>
    <row r="125" spans="39:39" x14ac:dyDescent="0.3">
      <c r="AM125" s="9"/>
    </row>
    <row r="126" spans="39:39" x14ac:dyDescent="0.3">
      <c r="AM126" s="9"/>
    </row>
    <row r="127" spans="39:39" x14ac:dyDescent="0.3">
      <c r="AM127" s="9"/>
    </row>
    <row r="128" spans="39:39" x14ac:dyDescent="0.3">
      <c r="AM128" s="9"/>
    </row>
    <row r="129" spans="39:39" x14ac:dyDescent="0.3">
      <c r="AM129" s="9"/>
    </row>
    <row r="130" spans="39:39" x14ac:dyDescent="0.3">
      <c r="AM130" s="9"/>
    </row>
    <row r="131" spans="39:39" x14ac:dyDescent="0.3">
      <c r="AM131" s="9"/>
    </row>
    <row r="132" spans="39:39" x14ac:dyDescent="0.3">
      <c r="AM132" s="9"/>
    </row>
    <row r="133" spans="39:39" x14ac:dyDescent="0.3">
      <c r="AM133" s="9"/>
    </row>
    <row r="134" spans="39:39" x14ac:dyDescent="0.3">
      <c r="AM134" s="9"/>
    </row>
    <row r="135" spans="39:39" x14ac:dyDescent="0.3">
      <c r="AM135" s="9"/>
    </row>
    <row r="136" spans="39:39" x14ac:dyDescent="0.3">
      <c r="AM136" s="9"/>
    </row>
    <row r="137" spans="39:39" x14ac:dyDescent="0.3">
      <c r="AM137" s="9"/>
    </row>
    <row r="138" spans="39:39" x14ac:dyDescent="0.3">
      <c r="AM138" s="9"/>
    </row>
    <row r="139" spans="39:39" x14ac:dyDescent="0.3">
      <c r="AM139" s="9"/>
    </row>
    <row r="140" spans="39:39" x14ac:dyDescent="0.3">
      <c r="AM140" s="9"/>
    </row>
    <row r="141" spans="39:39" x14ac:dyDescent="0.3">
      <c r="AM141" s="9"/>
    </row>
    <row r="142" spans="39:39" x14ac:dyDescent="0.3">
      <c r="AM142" s="9"/>
    </row>
    <row r="143" spans="39:39" x14ac:dyDescent="0.3">
      <c r="AM143" s="9"/>
    </row>
    <row r="144" spans="39:39" x14ac:dyDescent="0.3">
      <c r="AM144" s="9"/>
    </row>
    <row r="145" spans="39:39" x14ac:dyDescent="0.3">
      <c r="AM145" s="9"/>
    </row>
    <row r="146" spans="39:39" x14ac:dyDescent="0.3">
      <c r="AM146" s="9"/>
    </row>
    <row r="147" spans="39:39" x14ac:dyDescent="0.3">
      <c r="AM147" s="9"/>
    </row>
    <row r="148" spans="39:39" x14ac:dyDescent="0.3">
      <c r="AM148" s="9"/>
    </row>
    <row r="149" spans="39:39" x14ac:dyDescent="0.3">
      <c r="AM149" s="9"/>
    </row>
    <row r="150" spans="39:39" x14ac:dyDescent="0.3">
      <c r="AM150" s="9"/>
    </row>
    <row r="151" spans="39:39" x14ac:dyDescent="0.3">
      <c r="AM151" s="9"/>
    </row>
    <row r="152" spans="39:39" x14ac:dyDescent="0.3">
      <c r="AM152" s="9"/>
    </row>
    <row r="153" spans="39:39" x14ac:dyDescent="0.3">
      <c r="AM153" s="9"/>
    </row>
    <row r="154" spans="39:39" x14ac:dyDescent="0.3">
      <c r="AM154" s="9"/>
    </row>
    <row r="155" spans="39:39" x14ac:dyDescent="0.3">
      <c r="AM155" s="9"/>
    </row>
    <row r="156" spans="39:39" x14ac:dyDescent="0.3">
      <c r="AM156" s="9"/>
    </row>
    <row r="157" spans="39:39" x14ac:dyDescent="0.3">
      <c r="AM157" s="9"/>
    </row>
    <row r="158" spans="39:39" x14ac:dyDescent="0.3">
      <c r="AM158" s="9"/>
    </row>
    <row r="159" spans="39:39" x14ac:dyDescent="0.3">
      <c r="AM159" s="9"/>
    </row>
    <row r="160" spans="39:39" x14ac:dyDescent="0.3">
      <c r="AM160" s="9"/>
    </row>
    <row r="161" spans="39:39" x14ac:dyDescent="0.3">
      <c r="AM161" s="9"/>
    </row>
    <row r="162" spans="39:39" x14ac:dyDescent="0.3">
      <c r="AM162" s="9"/>
    </row>
  </sheetData>
  <mergeCells count="13">
    <mergeCell ref="AL38:AL69"/>
    <mergeCell ref="BT38:BT69"/>
    <mergeCell ref="DB38:DB69"/>
    <mergeCell ref="E73:E104"/>
    <mergeCell ref="AL73:AL104"/>
    <mergeCell ref="BT73:BT104"/>
    <mergeCell ref="DB73:DB104"/>
    <mergeCell ref="E38:E69"/>
    <mergeCell ref="A1:B2"/>
    <mergeCell ref="A24:B24"/>
    <mergeCell ref="A19:B19"/>
    <mergeCell ref="A15:B15"/>
    <mergeCell ref="A10:B10"/>
  </mergeCells>
  <conditionalFormatting sqref="G3:AK3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Neyacny_2D_0000000">
                <anchor moveWithCells="1">
                  <from>
                    <xdr:col>0</xdr:col>
                    <xdr:colOff>76200</xdr:colOff>
                    <xdr:row>31</xdr:row>
                    <xdr:rowOff>99060</xdr:rowOff>
                  </from>
                  <to>
                    <xdr:col>2</xdr:col>
                    <xdr:colOff>99060</xdr:colOff>
                    <xdr:row>32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Neyawny_2D">
                <anchor moveWithCells="1">
                  <from>
                    <xdr:col>0</xdr:col>
                    <xdr:colOff>60960</xdr:colOff>
                    <xdr:row>29</xdr:row>
                    <xdr:rowOff>121920</xdr:rowOff>
                  </from>
                  <to>
                    <xdr:col>2</xdr:col>
                    <xdr:colOff>76200</xdr:colOff>
                    <xdr:row>30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AJ38"/>
  <sheetViews>
    <sheetView zoomScale="80" zoomScaleNormal="80" workbookViewId="0">
      <selection activeCell="D33" sqref="D33"/>
    </sheetView>
  </sheetViews>
  <sheetFormatPr defaultRowHeight="14.4" x14ac:dyDescent="0.3"/>
  <cols>
    <col min="3" max="3" width="14.33203125" customWidth="1"/>
    <col min="6" max="12" width="14.33203125" bestFit="1" customWidth="1"/>
    <col min="13" max="13" width="9.6640625" customWidth="1"/>
    <col min="14" max="35" width="14.33203125" bestFit="1" customWidth="1"/>
    <col min="36" max="36" width="11.6640625" customWidth="1"/>
  </cols>
  <sheetData>
    <row r="3" spans="2:36" x14ac:dyDescent="0.3">
      <c r="B3" s="2" t="s">
        <v>0</v>
      </c>
      <c r="C3" s="3">
        <v>0.1</v>
      </c>
    </row>
    <row r="4" spans="2:36" x14ac:dyDescent="0.3">
      <c r="B4" s="2" t="s">
        <v>1</v>
      </c>
      <c r="C4" s="3">
        <f>C3/30</f>
        <v>3.3333333333333335E-3</v>
      </c>
    </row>
    <row r="5" spans="2:36" x14ac:dyDescent="0.3">
      <c r="B5" s="2" t="s">
        <v>2</v>
      </c>
      <c r="C5" s="3">
        <v>10</v>
      </c>
    </row>
    <row r="6" spans="2:36" x14ac:dyDescent="0.3">
      <c r="B6" s="2" t="s">
        <v>3</v>
      </c>
      <c r="C6" s="3">
        <v>1000</v>
      </c>
      <c r="D6">
        <v>1010</v>
      </c>
    </row>
    <row r="7" spans="2:36" x14ac:dyDescent="0.3">
      <c r="C7" s="1"/>
      <c r="M7" t="s">
        <v>16</v>
      </c>
    </row>
    <row r="8" spans="2:36" x14ac:dyDescent="0.3">
      <c r="B8" s="2" t="s">
        <v>4</v>
      </c>
      <c r="C8" s="4">
        <v>460</v>
      </c>
    </row>
    <row r="9" spans="2:36" x14ac:dyDescent="0.3">
      <c r="B9" s="2" t="s">
        <v>5</v>
      </c>
      <c r="C9" s="4">
        <v>7800</v>
      </c>
    </row>
    <row r="10" spans="2:36" x14ac:dyDescent="0.3">
      <c r="B10" s="2" t="s">
        <v>6</v>
      </c>
      <c r="C10" s="4">
        <v>46</v>
      </c>
    </row>
    <row r="11" spans="2:36" x14ac:dyDescent="0.3">
      <c r="C11" s="1"/>
      <c r="E11" s="2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3">
      <c r="B12" s="2" t="s">
        <v>8</v>
      </c>
      <c r="C12" s="3">
        <v>300</v>
      </c>
      <c r="E12" s="2" t="s">
        <v>0</v>
      </c>
      <c r="F12" s="5">
        <v>0</v>
      </c>
      <c r="G12" s="5">
        <f>F12+$C$4</f>
        <v>3.3333333333333335E-3</v>
      </c>
      <c r="H12" s="5">
        <f t="shared" ref="H12:AJ12" si="0">G12+$C$4</f>
        <v>6.6666666666666671E-3</v>
      </c>
      <c r="I12" s="5">
        <f t="shared" si="0"/>
        <v>0.01</v>
      </c>
      <c r="J12" s="5">
        <f t="shared" si="0"/>
        <v>1.3333333333333334E-2</v>
      </c>
      <c r="K12" s="5">
        <f t="shared" si="0"/>
        <v>1.6666666666666666E-2</v>
      </c>
      <c r="L12" s="5">
        <f t="shared" si="0"/>
        <v>0.02</v>
      </c>
      <c r="M12" s="5">
        <f t="shared" si="0"/>
        <v>2.3333333333333334E-2</v>
      </c>
      <c r="N12" s="5">
        <f t="shared" si="0"/>
        <v>2.6666666666666668E-2</v>
      </c>
      <c r="O12" s="5">
        <f t="shared" si="0"/>
        <v>3.0000000000000002E-2</v>
      </c>
      <c r="P12" s="5">
        <f t="shared" si="0"/>
        <v>3.3333333333333333E-2</v>
      </c>
      <c r="Q12" s="5">
        <f t="shared" si="0"/>
        <v>3.6666666666666667E-2</v>
      </c>
      <c r="R12" s="5">
        <f t="shared" si="0"/>
        <v>0.04</v>
      </c>
      <c r="S12" s="5">
        <f t="shared" si="0"/>
        <v>4.3333333333333335E-2</v>
      </c>
      <c r="T12" s="5">
        <f t="shared" si="0"/>
        <v>4.6666666666666669E-2</v>
      </c>
      <c r="U12" s="5">
        <f t="shared" si="0"/>
        <v>0.05</v>
      </c>
      <c r="V12" s="5">
        <f t="shared" si="0"/>
        <v>5.3333333333333337E-2</v>
      </c>
      <c r="W12" s="5">
        <f t="shared" si="0"/>
        <v>5.6666666666666671E-2</v>
      </c>
      <c r="X12" s="5">
        <f t="shared" si="0"/>
        <v>6.0000000000000005E-2</v>
      </c>
      <c r="Y12" s="5">
        <f t="shared" si="0"/>
        <v>6.3333333333333339E-2</v>
      </c>
      <c r="Z12" s="5">
        <f t="shared" si="0"/>
        <v>6.6666666666666666E-2</v>
      </c>
      <c r="AA12" s="5">
        <f t="shared" si="0"/>
        <v>6.9999999999999993E-2</v>
      </c>
      <c r="AB12" s="5">
        <f t="shared" si="0"/>
        <v>7.333333333333332E-2</v>
      </c>
      <c r="AC12" s="5">
        <f t="shared" si="0"/>
        <v>7.6666666666666647E-2</v>
      </c>
      <c r="AD12" s="5">
        <f t="shared" si="0"/>
        <v>7.9999999999999974E-2</v>
      </c>
      <c r="AE12" s="5">
        <f t="shared" si="0"/>
        <v>8.3333333333333301E-2</v>
      </c>
      <c r="AF12" s="5">
        <f t="shared" si="0"/>
        <v>8.6666666666666628E-2</v>
      </c>
      <c r="AG12" s="5">
        <f t="shared" si="0"/>
        <v>8.9999999999999955E-2</v>
      </c>
      <c r="AH12" s="5">
        <f t="shared" si="0"/>
        <v>9.3333333333333282E-2</v>
      </c>
      <c r="AI12" s="5">
        <f t="shared" si="0"/>
        <v>9.6666666666666609E-2</v>
      </c>
      <c r="AJ12" s="5">
        <f t="shared" si="0"/>
        <v>9.9999999999999936E-2</v>
      </c>
    </row>
    <row r="13" spans="2:36" x14ac:dyDescent="0.3">
      <c r="B13" s="2" t="s">
        <v>9</v>
      </c>
      <c r="C13" s="3">
        <v>100</v>
      </c>
      <c r="E13" s="2" t="s">
        <v>7</v>
      </c>
      <c r="F13" s="2">
        <v>300</v>
      </c>
      <c r="G13" s="2">
        <v>0</v>
      </c>
      <c r="H13" s="2">
        <v>0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</v>
      </c>
      <c r="X13" s="2">
        <v>0</v>
      </c>
      <c r="Y13" s="2">
        <v>0</v>
      </c>
      <c r="Z13" s="2">
        <v>0</v>
      </c>
      <c r="AA13" s="2">
        <v>0</v>
      </c>
      <c r="AB13" s="2">
        <v>0</v>
      </c>
      <c r="AC13" s="2">
        <v>0</v>
      </c>
      <c r="AD13" s="2">
        <v>0</v>
      </c>
      <c r="AE13" s="2">
        <v>0</v>
      </c>
      <c r="AF13" s="2">
        <v>0</v>
      </c>
      <c r="AG13" s="2">
        <v>0</v>
      </c>
      <c r="AH13" s="2">
        <v>0</v>
      </c>
      <c r="AI13" s="2">
        <v>0</v>
      </c>
      <c r="AJ13" s="2">
        <v>100</v>
      </c>
    </row>
    <row r="14" spans="2:36" x14ac:dyDescent="0.3">
      <c r="B14" s="6" t="s">
        <v>17</v>
      </c>
      <c r="C14" s="2">
        <f>$C$10/($C$4^2)</f>
        <v>4139999.9999999991</v>
      </c>
    </row>
    <row r="15" spans="2:36" x14ac:dyDescent="0.3">
      <c r="B15" s="6" t="s">
        <v>18</v>
      </c>
      <c r="C15" s="2">
        <f>(2*$C$10)/($C$4^2)+($C$9*$C$8)/$C$5</f>
        <v>8638799.9999999981</v>
      </c>
      <c r="E15" s="2" t="s">
        <v>10</v>
      </c>
      <c r="F15" s="2"/>
      <c r="G15" s="2">
        <f>G17*H15+G18</f>
        <v>223.73970929894193</v>
      </c>
      <c r="H15" s="2">
        <f t="shared" ref="H15:AH15" si="1">H17*I15+H18</f>
        <v>166.87019340379214</v>
      </c>
      <c r="I15" s="2">
        <f t="shared" si="1"/>
        <v>124.46276093697104</v>
      </c>
      <c r="J15" s="2">
        <f t="shared" si="1"/>
        <v>92.842101084687428</v>
      </c>
      <c r="K15" s="2">
        <f t="shared" si="1"/>
        <v>69.267756659743384</v>
      </c>
      <c r="L15" s="2">
        <f t="shared" si="1"/>
        <v>51.696617811977106</v>
      </c>
      <c r="M15" s="2">
        <f t="shared" si="1"/>
        <v>38.605852507915522</v>
      </c>
      <c r="N15" s="2">
        <f t="shared" si="1"/>
        <v>28.860927754539947</v>
      </c>
      <c r="O15" s="2">
        <f t="shared" si="1"/>
        <v>21.617283406557839</v>
      </c>
      <c r="P15" s="2">
        <f t="shared" si="1"/>
        <v>16.247136953810745</v>
      </c>
      <c r="Q15" s="2">
        <f t="shared" si="1"/>
        <v>12.285075703727244</v>
      </c>
      <c r="R15" s="2">
        <f t="shared" si="1"/>
        <v>9.3877210146334402</v>
      </c>
      <c r="S15" s="2">
        <f t="shared" si="1"/>
        <v>7.3039688134745333</v>
      </c>
      <c r="T15" s="2">
        <f t="shared" si="1"/>
        <v>5.8532272428167511</v>
      </c>
      <c r="U15" s="2">
        <f t="shared" si="1"/>
        <v>4.9097653665364209</v>
      </c>
      <c r="V15" s="2">
        <f t="shared" si="1"/>
        <v>4.3918164886892477</v>
      </c>
      <c r="W15" s="2">
        <f t="shared" si="1"/>
        <v>4.2544917065284755</v>
      </c>
      <c r="X15" s="2">
        <f t="shared" si="1"/>
        <v>4.4858895389335052</v>
      </c>
      <c r="Y15" s="2">
        <f t="shared" si="1"/>
        <v>5.1060644647127722</v>
      </c>
      <c r="Z15" s="2">
        <f t="shared" si="1"/>
        <v>6.1687649774338125</v>
      </c>
      <c r="AA15" s="2">
        <f t="shared" si="1"/>
        <v>7.7660917881991161</v>
      </c>
      <c r="AB15" s="2">
        <f t="shared" si="1"/>
        <v>10.036479887275011</v>
      </c>
      <c r="AC15" s="2">
        <f t="shared" si="1"/>
        <v>13.176696243248072</v>
      </c>
      <c r="AD15" s="2">
        <f t="shared" si="1"/>
        <v>17.458892940302633</v>
      </c>
      <c r="AE15" s="2">
        <f t="shared" si="1"/>
        <v>23.254193692183424</v>
      </c>
      <c r="AF15" s="2">
        <f t="shared" si="1"/>
        <v>31.064857897386773</v>
      </c>
      <c r="AG15" s="2">
        <f t="shared" si="1"/>
        <v>41.567809787030313</v>
      </c>
      <c r="AH15" s="2">
        <f t="shared" si="1"/>
        <v>55.673305191549815</v>
      </c>
      <c r="AI15" s="2">
        <f>AI17*AJ15+AI18</f>
        <v>74.603820379336966</v>
      </c>
      <c r="AJ15" s="2">
        <v>100</v>
      </c>
    </row>
    <row r="16" spans="2:36" x14ac:dyDescent="0.3">
      <c r="B16" s="43" t="s">
        <v>19</v>
      </c>
      <c r="C16" s="45">
        <f>$C$10/($C$4^2)</f>
        <v>4139999.9999999991</v>
      </c>
      <c r="E16" s="2" t="s">
        <v>20</v>
      </c>
      <c r="F16" s="2">
        <f>-($C$9*$C$8)/$C$5*F13</f>
        <v>-107640000</v>
      </c>
      <c r="G16" s="2">
        <f>-($C$9*$C$8)/$C$5*G13</f>
        <v>0</v>
      </c>
      <c r="H16" s="2">
        <f t="shared" ref="H16:AH16" si="2">-($C$9*$C$8)/$C$5*H13</f>
        <v>0</v>
      </c>
      <c r="I16" s="2">
        <f t="shared" si="2"/>
        <v>0</v>
      </c>
      <c r="J16" s="2">
        <f t="shared" si="2"/>
        <v>0</v>
      </c>
      <c r="K16" s="2">
        <f t="shared" si="2"/>
        <v>0</v>
      </c>
      <c r="L16" s="2">
        <f t="shared" si="2"/>
        <v>0</v>
      </c>
      <c r="M16" s="2">
        <f t="shared" si="2"/>
        <v>0</v>
      </c>
      <c r="N16" s="2">
        <f t="shared" si="2"/>
        <v>0</v>
      </c>
      <c r="O16" s="2">
        <f t="shared" si="2"/>
        <v>0</v>
      </c>
      <c r="P16" s="2">
        <f t="shared" si="2"/>
        <v>0</v>
      </c>
      <c r="Q16" s="2">
        <f t="shared" si="2"/>
        <v>0</v>
      </c>
      <c r="R16" s="2">
        <f t="shared" si="2"/>
        <v>0</v>
      </c>
      <c r="S16" s="2">
        <f t="shared" si="2"/>
        <v>0</v>
      </c>
      <c r="T16" s="2">
        <f t="shared" si="2"/>
        <v>0</v>
      </c>
      <c r="U16" s="2">
        <f t="shared" si="2"/>
        <v>0</v>
      </c>
      <c r="V16" s="2">
        <f t="shared" si="2"/>
        <v>0</v>
      </c>
      <c r="W16" s="2">
        <f t="shared" si="2"/>
        <v>0</v>
      </c>
      <c r="X16" s="2">
        <f t="shared" si="2"/>
        <v>0</v>
      </c>
      <c r="Y16" s="2">
        <f t="shared" si="2"/>
        <v>0</v>
      </c>
      <c r="Z16" s="2">
        <f t="shared" si="2"/>
        <v>0</v>
      </c>
      <c r="AA16" s="2">
        <f t="shared" si="2"/>
        <v>0</v>
      </c>
      <c r="AB16" s="2">
        <f t="shared" si="2"/>
        <v>0</v>
      </c>
      <c r="AC16" s="2">
        <f t="shared" si="2"/>
        <v>0</v>
      </c>
      <c r="AD16" s="2">
        <f t="shared" si="2"/>
        <v>0</v>
      </c>
      <c r="AE16" s="2">
        <f t="shared" si="2"/>
        <v>0</v>
      </c>
      <c r="AF16" s="2">
        <f t="shared" si="2"/>
        <v>0</v>
      </c>
      <c r="AG16" s="2">
        <f t="shared" si="2"/>
        <v>0</v>
      </c>
      <c r="AH16" s="2">
        <f t="shared" si="2"/>
        <v>0</v>
      </c>
      <c r="AI16" s="2">
        <f>-($C$9*$C$8)/$C$5*AI13</f>
        <v>0</v>
      </c>
      <c r="AJ16" s="2">
        <f t="shared" ref="AJ16" si="3">-($C$9*$C$8)/$C$5*AJ13</f>
        <v>-35880000</v>
      </c>
    </row>
    <row r="17" spans="2:36" x14ac:dyDescent="0.3">
      <c r="B17" s="46"/>
      <c r="C17" s="44"/>
      <c r="E17" s="2" t="s">
        <v>21</v>
      </c>
      <c r="F17" s="2">
        <v>0</v>
      </c>
      <c r="G17" s="2">
        <f>$C$14/($C$15-$C$16*F17)</f>
        <v>0.47923322683706071</v>
      </c>
      <c r="H17" s="2">
        <f t="shared" ref="H17:AJ17" si="4">$C$14/($C$15-$C$16*G17)</f>
        <v>0.62210974042322009</v>
      </c>
      <c r="I17" s="2">
        <f t="shared" si="4"/>
        <v>0.68280036240378583</v>
      </c>
      <c r="J17" s="2">
        <f t="shared" si="4"/>
        <v>0.71231854270130357</v>
      </c>
      <c r="K17" s="2">
        <f t="shared" si="4"/>
        <v>0.72761768474986643</v>
      </c>
      <c r="L17" s="2">
        <f t="shared" si="4"/>
        <v>0.73580865245165905</v>
      </c>
      <c r="M17" s="2">
        <f t="shared" si="4"/>
        <v>0.74027025007591674</v>
      </c>
      <c r="N17" s="2">
        <f t="shared" si="4"/>
        <v>0.74272330769575978</v>
      </c>
      <c r="O17" s="2">
        <f t="shared" si="4"/>
        <v>0.7440789772313966</v>
      </c>
      <c r="P17" s="2">
        <f t="shared" si="4"/>
        <v>0.74483030633226499</v>
      </c>
      <c r="Q17" s="2">
        <f t="shared" si="4"/>
        <v>0.74524735620578053</v>
      </c>
      <c r="R17" s="2">
        <f t="shared" si="4"/>
        <v>0.74547905505879375</v>
      </c>
      <c r="S17" s="2">
        <f t="shared" si="4"/>
        <v>0.74560784139748904</v>
      </c>
      <c r="T17" s="2">
        <f t="shared" si="4"/>
        <v>0.74567944459802482</v>
      </c>
      <c r="U17" s="2">
        <f t="shared" si="4"/>
        <v>0.74571926081247353</v>
      </c>
      <c r="V17" s="2">
        <f t="shared" si="4"/>
        <v>0.7457414031559223</v>
      </c>
      <c r="W17" s="2">
        <f t="shared" si="4"/>
        <v>0.74575371738604534</v>
      </c>
      <c r="X17" s="2">
        <f t="shared" si="4"/>
        <v>0.74576056599086782</v>
      </c>
      <c r="Y17" s="2">
        <f t="shared" si="4"/>
        <v>0.74576437492231062</v>
      </c>
      <c r="Z17" s="2">
        <f t="shared" si="4"/>
        <v>0.74576649332079048</v>
      </c>
      <c r="AA17" s="2">
        <f t="shared" si="4"/>
        <v>0.74576767150738277</v>
      </c>
      <c r="AB17" s="2">
        <f t="shared" si="4"/>
        <v>0.74576832677931204</v>
      </c>
      <c r="AC17" s="2">
        <f t="shared" si="4"/>
        <v>0.74576869122233935</v>
      </c>
      <c r="AD17" s="2">
        <f t="shared" si="4"/>
        <v>0.74576889391501577</v>
      </c>
      <c r="AE17" s="2">
        <f t="shared" si="4"/>
        <v>0.74576900664687074</v>
      </c>
      <c r="AF17" s="2">
        <f t="shared" si="4"/>
        <v>0.74576906934511078</v>
      </c>
      <c r="AG17" s="2">
        <f t="shared" si="4"/>
        <v>0.74576910421608689</v>
      </c>
      <c r="AH17" s="2">
        <f t="shared" si="4"/>
        <v>0.74576912361033254</v>
      </c>
      <c r="AI17" s="2">
        <f t="shared" si="4"/>
        <v>0.74576913439686099</v>
      </c>
      <c r="AJ17" s="2">
        <f t="shared" si="4"/>
        <v>0.74576914039602182</v>
      </c>
    </row>
    <row r="18" spans="2:36" x14ac:dyDescent="0.3">
      <c r="E18" s="2" t="s">
        <v>22</v>
      </c>
      <c r="F18" s="2">
        <f>F13</f>
        <v>300</v>
      </c>
      <c r="G18" s="2">
        <f>(F18*$C$16-G16)/($C$15-$C$16*F17)</f>
        <v>143.76996805111821</v>
      </c>
      <c r="H18" s="2">
        <f>(G18*$C$16-H16)/($C$15-$C$16*G17)</f>
        <v>89.440697504935798</v>
      </c>
      <c r="I18" s="2">
        <f t="shared" ref="I18:AJ18" si="5">(H18*$C$16-I16)/($C$15-$C$16*H17)</f>
        <v>61.070140670017544</v>
      </c>
      <c r="J18" s="2">
        <f t="shared" si="5"/>
        <v>43.501393604630508</v>
      </c>
      <c r="K18" s="2">
        <f t="shared" si="5"/>
        <v>31.652383297993897</v>
      </c>
      <c r="L18" s="2">
        <f t="shared" si="5"/>
        <v>23.290097501380288</v>
      </c>
      <c r="M18" s="2">
        <f t="shared" si="5"/>
        <v>17.240966301639268</v>
      </c>
      <c r="N18" s="2">
        <f t="shared" si="5"/>
        <v>12.805267519424646</v>
      </c>
      <c r="O18" s="2">
        <f t="shared" si="5"/>
        <v>9.5281303590279123</v>
      </c>
      <c r="P18" s="2">
        <f>(O18*$C$16-P16)/($C$15-$C$16*O17)</f>
        <v>7.0968402540885149</v>
      </c>
      <c r="Q18" s="2">
        <f t="shared" si="5"/>
        <v>5.2889014367742258</v>
      </c>
      <c r="R18" s="2">
        <f t="shared" si="5"/>
        <v>3.9427652453855466</v>
      </c>
      <c r="S18" s="2">
        <f t="shared" si="5"/>
        <v>2.9397566837489588</v>
      </c>
      <c r="T18" s="2">
        <f t="shared" si="5"/>
        <v>2.1921161311912551</v>
      </c>
      <c r="U18" s="2">
        <f t="shared" si="5"/>
        <v>1.6347032209670422</v>
      </c>
      <c r="V18" s="2">
        <f t="shared" si="5"/>
        <v>1.2190658737474678</v>
      </c>
      <c r="W18" s="2">
        <f t="shared" si="5"/>
        <v>0.90912290708564147</v>
      </c>
      <c r="X18" s="2">
        <f t="shared" si="5"/>
        <v>0.67798801374345108</v>
      </c>
      <c r="Y18" s="2">
        <f t="shared" si="5"/>
        <v>0.50561930727420379</v>
      </c>
      <c r="Z18" s="2">
        <f t="shared" si="5"/>
        <v>0.37707393774117021</v>
      </c>
      <c r="AA18" s="2">
        <f t="shared" si="5"/>
        <v>0.28120955253535229</v>
      </c>
      <c r="AB18" s="2">
        <f t="shared" si="5"/>
        <v>0.20971717746864871</v>
      </c>
      <c r="AC18" s="2">
        <f t="shared" si="5"/>
        <v>0.15640050496763722</v>
      </c>
      <c r="AD18" s="2">
        <f t="shared" si="5"/>
        <v>0.11663863159746472</v>
      </c>
      <c r="AE18" s="2">
        <f t="shared" si="5"/>
        <v>8.6985476423091568E-2</v>
      </c>
      <c r="AF18" s="2">
        <f t="shared" si="5"/>
        <v>6.4871077798590082E-2</v>
      </c>
      <c r="AG18" s="2">
        <f t="shared" si="5"/>
        <v>4.8378845579386605E-2</v>
      </c>
      <c r="AH18" s="2">
        <f t="shared" si="5"/>
        <v>3.6079449269018758E-2</v>
      </c>
      <c r="AI18" s="2">
        <f t="shared" si="5"/>
        <v>2.6906939650871577E-2</v>
      </c>
      <c r="AJ18" s="2">
        <f t="shared" si="5"/>
        <v>6.4833989153529767</v>
      </c>
    </row>
    <row r="20" spans="2:36" x14ac:dyDescent="0.3">
      <c r="E20" s="2"/>
      <c r="F20" s="2">
        <v>1</v>
      </c>
      <c r="G20" s="2">
        <v>2</v>
      </c>
      <c r="H20" s="2">
        <v>3</v>
      </c>
      <c r="I20" s="2">
        <v>4</v>
      </c>
      <c r="J20" s="2">
        <v>5</v>
      </c>
      <c r="K20" s="2">
        <v>6</v>
      </c>
      <c r="L20" s="2">
        <v>7</v>
      </c>
      <c r="M20" s="2">
        <v>8</v>
      </c>
      <c r="N20" s="2">
        <v>9</v>
      </c>
      <c r="O20" s="2">
        <v>10</v>
      </c>
      <c r="P20" s="2">
        <v>11</v>
      </c>
      <c r="Q20" s="2">
        <v>12</v>
      </c>
      <c r="R20" s="2">
        <v>13</v>
      </c>
      <c r="S20" s="2">
        <v>14</v>
      </c>
      <c r="T20" s="2">
        <v>15</v>
      </c>
      <c r="U20" s="2">
        <v>16</v>
      </c>
      <c r="V20" s="2">
        <v>17</v>
      </c>
      <c r="W20" s="2">
        <v>18</v>
      </c>
      <c r="X20" s="2">
        <v>19</v>
      </c>
      <c r="Y20" s="2">
        <v>20</v>
      </c>
      <c r="Z20" s="2">
        <v>21</v>
      </c>
      <c r="AA20" s="2">
        <v>22</v>
      </c>
      <c r="AB20" s="2">
        <v>23</v>
      </c>
      <c r="AC20" s="2">
        <v>24</v>
      </c>
      <c r="AD20" s="2">
        <v>25</v>
      </c>
      <c r="AE20" s="2">
        <v>26</v>
      </c>
      <c r="AF20" s="2">
        <v>27</v>
      </c>
      <c r="AG20" s="2">
        <v>28</v>
      </c>
      <c r="AH20" s="2">
        <v>29</v>
      </c>
      <c r="AI20" s="2">
        <v>30</v>
      </c>
      <c r="AJ20" s="2">
        <v>31</v>
      </c>
    </row>
    <row r="21" spans="2:36" x14ac:dyDescent="0.3">
      <c r="B21" s="2" t="s">
        <v>11</v>
      </c>
      <c r="C21" s="3">
        <v>92000</v>
      </c>
      <c r="E21" s="2" t="s">
        <v>0</v>
      </c>
      <c r="F21" s="5">
        <v>0</v>
      </c>
      <c r="G21" s="5">
        <f>F21+$C$4</f>
        <v>3.3333333333333335E-3</v>
      </c>
      <c r="H21" s="5">
        <f t="shared" ref="H21" si="6">G21+$C$4</f>
        <v>6.6666666666666671E-3</v>
      </c>
      <c r="I21" s="5">
        <f t="shared" ref="I21" si="7">H21+$C$4</f>
        <v>0.01</v>
      </c>
      <c r="J21" s="5">
        <f t="shared" ref="J21" si="8">I21+$C$4</f>
        <v>1.3333333333333334E-2</v>
      </c>
      <c r="K21" s="5">
        <f t="shared" ref="K21" si="9">J21+$C$4</f>
        <v>1.6666666666666666E-2</v>
      </c>
      <c r="L21" s="5">
        <f t="shared" ref="L21" si="10">K21+$C$4</f>
        <v>0.02</v>
      </c>
      <c r="M21" s="5">
        <f t="shared" ref="M21" si="11">L21+$C$4</f>
        <v>2.3333333333333334E-2</v>
      </c>
      <c r="N21" s="5">
        <f t="shared" ref="N21" si="12">M21+$C$4</f>
        <v>2.6666666666666668E-2</v>
      </c>
      <c r="O21" s="5">
        <f t="shared" ref="O21" si="13">N21+$C$4</f>
        <v>3.0000000000000002E-2</v>
      </c>
      <c r="P21" s="5">
        <f t="shared" ref="P21" si="14">O21+$C$4</f>
        <v>3.3333333333333333E-2</v>
      </c>
      <c r="Q21" s="5">
        <f t="shared" ref="Q21" si="15">P21+$C$4</f>
        <v>3.6666666666666667E-2</v>
      </c>
      <c r="R21" s="5">
        <f t="shared" ref="R21" si="16">Q21+$C$4</f>
        <v>0.04</v>
      </c>
      <c r="S21" s="5">
        <f t="shared" ref="S21" si="17">R21+$C$4</f>
        <v>4.3333333333333335E-2</v>
      </c>
      <c r="T21" s="5">
        <f t="shared" ref="T21" si="18">S21+$C$4</f>
        <v>4.6666666666666669E-2</v>
      </c>
      <c r="U21" s="5">
        <f t="shared" ref="U21" si="19">T21+$C$4</f>
        <v>0.05</v>
      </c>
      <c r="V21" s="5">
        <f t="shared" ref="V21" si="20">U21+$C$4</f>
        <v>5.3333333333333337E-2</v>
      </c>
      <c r="W21" s="5">
        <f t="shared" ref="W21" si="21">V21+$C$4</f>
        <v>5.6666666666666671E-2</v>
      </c>
      <c r="X21" s="5">
        <f t="shared" ref="X21" si="22">W21+$C$4</f>
        <v>6.0000000000000005E-2</v>
      </c>
      <c r="Y21" s="5">
        <f t="shared" ref="Y21" si="23">X21+$C$4</f>
        <v>6.3333333333333339E-2</v>
      </c>
      <c r="Z21" s="5">
        <f t="shared" ref="Z21" si="24">Y21+$C$4</f>
        <v>6.6666666666666666E-2</v>
      </c>
      <c r="AA21" s="5">
        <f t="shared" ref="AA21" si="25">Z21+$C$4</f>
        <v>6.9999999999999993E-2</v>
      </c>
      <c r="AB21" s="5">
        <f t="shared" ref="AB21" si="26">AA21+$C$4</f>
        <v>7.333333333333332E-2</v>
      </c>
      <c r="AC21" s="5">
        <f t="shared" ref="AC21" si="27">AB21+$C$4</f>
        <v>7.6666666666666647E-2</v>
      </c>
      <c r="AD21" s="5">
        <f t="shared" ref="AD21" si="28">AC21+$C$4</f>
        <v>7.9999999999999974E-2</v>
      </c>
      <c r="AE21" s="5">
        <f t="shared" ref="AE21" si="29">AD21+$C$4</f>
        <v>8.3333333333333301E-2</v>
      </c>
      <c r="AF21" s="5">
        <f t="shared" ref="AF21" si="30">AE21+$C$4</f>
        <v>8.6666666666666628E-2</v>
      </c>
      <c r="AG21" s="5">
        <f t="shared" ref="AG21" si="31">AF21+$C$4</f>
        <v>8.9999999999999955E-2</v>
      </c>
      <c r="AH21" s="5">
        <f t="shared" ref="AH21" si="32">AG21+$C$4</f>
        <v>9.3333333333333282E-2</v>
      </c>
      <c r="AI21" s="5">
        <f t="shared" ref="AI21" si="33">AH21+$C$4</f>
        <v>9.6666666666666609E-2</v>
      </c>
      <c r="AJ21" s="5">
        <f t="shared" ref="AJ21" si="34">AI21+$C$4</f>
        <v>9.9999999999999936E-2</v>
      </c>
    </row>
    <row r="22" spans="2:36" x14ac:dyDescent="0.3">
      <c r="B22" s="2" t="s">
        <v>9</v>
      </c>
      <c r="C22" s="3">
        <v>100</v>
      </c>
      <c r="E22" s="2" t="s">
        <v>7</v>
      </c>
      <c r="F22" s="2">
        <f>F25/C10*C4+G22</f>
        <v>247.64422507446139</v>
      </c>
      <c r="G22" s="2">
        <v>240.97755840779473</v>
      </c>
      <c r="H22" s="2">
        <v>235.31029114824543</v>
      </c>
      <c r="I22" s="2">
        <v>229.7212091003725</v>
      </c>
      <c r="J22" s="2">
        <v>224.20867174518264</v>
      </c>
      <c r="K22" s="2">
        <v>218.77092203170392</v>
      </c>
      <c r="L22" s="2">
        <v>213.40608905190356</v>
      </c>
      <c r="M22" s="2">
        <v>208.11219088894143</v>
      </c>
      <c r="N22" s="2">
        <v>202.88713763442394</v>
      </c>
      <c r="O22" s="2">
        <v>197.72873457006492</v>
      </c>
      <c r="P22" s="2">
        <v>192.63468550891042</v>
      </c>
      <c r="Q22" s="2">
        <v>187.6025962910411</v>
      </c>
      <c r="R22" s="2">
        <v>182.62997842843041</v>
      </c>
      <c r="S22" s="2">
        <v>177.71425289341039</v>
      </c>
      <c r="T22" s="2">
        <v>172.85275404497793</v>
      </c>
      <c r="U22" s="2">
        <v>168.0427336869638</v>
      </c>
      <c r="V22" s="2">
        <v>163.28136525188734</v>
      </c>
      <c r="W22" s="2">
        <v>158.56574810412664</v>
      </c>
      <c r="X22" s="2">
        <v>153.89291195585406</v>
      </c>
      <c r="Y22" s="2">
        <v>149.25982138901384</v>
      </c>
      <c r="Z22" s="2">
        <v>144.66338047645772</v>
      </c>
      <c r="AA22" s="2">
        <v>140.10043749520338</v>
      </c>
      <c r="AB22" s="2">
        <v>135.56778972464014</v>
      </c>
      <c r="AC22" s="2">
        <v>131.06218832237701</v>
      </c>
      <c r="AD22" s="2">
        <v>126.58034327030994</v>
      </c>
      <c r="AE22" s="2">
        <v>122.11892838337812</v>
      </c>
      <c r="AF22" s="2">
        <v>117.67458637338373</v>
      </c>
      <c r="AG22" s="2">
        <v>113.24393396016569</v>
      </c>
      <c r="AH22" s="2">
        <v>108.82356702234567</v>
      </c>
      <c r="AI22" s="2">
        <v>104.41006577980471</v>
      </c>
      <c r="AJ22" s="2">
        <v>100</v>
      </c>
    </row>
    <row r="24" spans="2:36" x14ac:dyDescent="0.3">
      <c r="E24" s="2" t="s">
        <v>12</v>
      </c>
      <c r="F24" s="2"/>
      <c r="G24" s="2">
        <f>G27*H24+G28</f>
        <v>241.88137449892713</v>
      </c>
      <c r="H24" s="2">
        <f t="shared" ref="H24:AI24" si="35">H27*I24+H28</f>
        <v>236.19685465129095</v>
      </c>
      <c r="I24" s="2">
        <f t="shared" si="35"/>
        <v>230.58917030725206</v>
      </c>
      <c r="J24" s="2">
        <f t="shared" si="35"/>
        <v>225.05670926780942</v>
      </c>
      <c r="K24" s="2">
        <f t="shared" si="35"/>
        <v>219.59774481366105</v>
      </c>
      <c r="L24" s="2">
        <f t="shared" si="35"/>
        <v>214.21043833394899</v>
      </c>
      <c r="M24" s="2">
        <f t="shared" si="35"/>
        <v>208.89284212534753</v>
      </c>
      <c r="N24" s="2">
        <f t="shared" si="35"/>
        <v>203.64290235723462</v>
      </c>
      <c r="O24" s="2">
        <f t="shared" si="35"/>
        <v>198.45846219843196</v>
      </c>
      <c r="P24" s="2">
        <f t="shared" si="35"/>
        <v>193.33726510075445</v>
      </c>
      <c r="Q24" s="2">
        <f t="shared" si="35"/>
        <v>188.27695823437006</v>
      </c>
      <c r="R24" s="2">
        <f t="shared" si="35"/>
        <v>183.27509606974087</v>
      </c>
      <c r="S24" s="2">
        <f t="shared" si="35"/>
        <v>178.32914410069191</v>
      </c>
      <c r="T24" s="2">
        <f t="shared" si="35"/>
        <v>173.43648270294062</v>
      </c>
      <c r="U24" s="2">
        <f t="shared" si="35"/>
        <v>168.59441112221276</v>
      </c>
      <c r="V24" s="2">
        <f t="shared" si="35"/>
        <v>163.80015158587318</v>
      </c>
      <c r="W24" s="2">
        <f t="shared" si="35"/>
        <v>159.05085353181235</v>
      </c>
      <c r="X24" s="2">
        <f t="shared" si="35"/>
        <v>154.34359794815094</v>
      </c>
      <c r="Y24" s="2">
        <f t="shared" si="35"/>
        <v>149.67540181715526</v>
      </c>
      <c r="Z24" s="2">
        <f t="shared" si="35"/>
        <v>145.04322265659852</v>
      </c>
      <c r="AA24" s="2">
        <f t="shared" si="35"/>
        <v>140.44396315165395</v>
      </c>
      <c r="AB24" s="2">
        <f t="shared" si="35"/>
        <v>135.87447587026844</v>
      </c>
      <c r="AC24" s="2">
        <f t="shared" si="35"/>
        <v>131.33156805483736</v>
      </c>
      <c r="AD24" s="2">
        <f t="shared" si="35"/>
        <v>126.81200648288618</v>
      </c>
      <c r="AE24" s="2">
        <f t="shared" si="35"/>
        <v>122.31252238935826</v>
      </c>
      <c r="AF24" s="2">
        <f t="shared" si="35"/>
        <v>117.82981644301529</v>
      </c>
      <c r="AG24" s="2">
        <f t="shared" si="35"/>
        <v>113.3605637693737</v>
      </c>
      <c r="AH24" s="2">
        <f t="shared" si="35"/>
        <v>108.90141901253017</v>
      </c>
      <c r="AI24" s="2">
        <f t="shared" si="35"/>
        <v>104.44902142816927</v>
      </c>
      <c r="AJ24" s="2">
        <v>100</v>
      </c>
    </row>
    <row r="25" spans="2:36" x14ac:dyDescent="0.3">
      <c r="E25" s="2" t="s">
        <v>13</v>
      </c>
      <c r="F25" s="2">
        <v>92000</v>
      </c>
      <c r="G25" s="4">
        <f>-$C$10*(G22-F22)/$C$4</f>
        <v>91999.999999999869</v>
      </c>
      <c r="H25" s="4">
        <f t="shared" ref="H25:AI25" si="36">-$C$10*(H22-G22)/$C$4</f>
        <v>78208.288181780415</v>
      </c>
      <c r="I25" s="4">
        <f t="shared" si="36"/>
        <v>77129.332260646304</v>
      </c>
      <c r="J25" s="4">
        <f t="shared" si="36"/>
        <v>76073.015501620102</v>
      </c>
      <c r="K25" s="4">
        <f t="shared" si="36"/>
        <v>75040.946046006371</v>
      </c>
      <c r="L25" s="4">
        <f t="shared" si="36"/>
        <v>74034.695121244891</v>
      </c>
      <c r="M25" s="4">
        <f t="shared" si="36"/>
        <v>73055.794648877476</v>
      </c>
      <c r="N25" s="4">
        <f t="shared" si="36"/>
        <v>72105.734912341359</v>
      </c>
      <c r="O25" s="4">
        <f t="shared" si="36"/>
        <v>71185.962288154493</v>
      </c>
      <c r="P25" s="4">
        <f t="shared" si="36"/>
        <v>70297.877043932007</v>
      </c>
      <c r="Q25" s="4">
        <f t="shared" si="36"/>
        <v>69442.831206596704</v>
      </c>
      <c r="R25" s="4">
        <f t="shared" si="36"/>
        <v>68622.126504027518</v>
      </c>
      <c r="S25" s="4">
        <f t="shared" si="36"/>
        <v>67837.012383276218</v>
      </c>
      <c r="T25" s="4">
        <f t="shared" si="36"/>
        <v>67088.684108367961</v>
      </c>
      <c r="U25" s="4">
        <f t="shared" si="36"/>
        <v>66378.280940594967</v>
      </c>
      <c r="V25" s="4">
        <f t="shared" si="36"/>
        <v>65706.884404055178</v>
      </c>
      <c r="W25" s="4">
        <f t="shared" si="36"/>
        <v>65075.516639097601</v>
      </c>
      <c r="X25" s="4">
        <f t="shared" si="36"/>
        <v>64485.138846161601</v>
      </c>
      <c r="Y25" s="4">
        <f t="shared" si="36"/>
        <v>63936.649822395084</v>
      </c>
      <c r="Z25" s="4">
        <f t="shared" si="36"/>
        <v>63430.884593274437</v>
      </c>
      <c r="AA25" s="4">
        <f t="shared" si="36"/>
        <v>62968.613141309856</v>
      </c>
      <c r="AB25" s="4">
        <f t="shared" si="36"/>
        <v>62550.539233772768</v>
      </c>
      <c r="AC25" s="4">
        <f t="shared" si="36"/>
        <v>62177.299351231115</v>
      </c>
      <c r="AD25" s="4">
        <f t="shared" si="36"/>
        <v>61849.461718525592</v>
      </c>
      <c r="AE25" s="4">
        <f t="shared" si="36"/>
        <v>61567.525439659112</v>
      </c>
      <c r="AF25" s="4">
        <f t="shared" si="36"/>
        <v>61331.91973792253</v>
      </c>
      <c r="AG25" s="4">
        <f t="shared" si="36"/>
        <v>61143.003302408964</v>
      </c>
      <c r="AH25" s="4">
        <f t="shared" si="36"/>
        <v>61001.063741916274</v>
      </c>
      <c r="AI25" s="4">
        <f t="shared" si="36"/>
        <v>60906.317147065245</v>
      </c>
      <c r="AJ25" s="4">
        <f>-$C$10*(AJ22-AI22)/$C$4</f>
        <v>60858.90776130501</v>
      </c>
    </row>
    <row r="26" spans="2:36" x14ac:dyDescent="0.3">
      <c r="E26" s="2" t="s">
        <v>20</v>
      </c>
      <c r="F26" s="2">
        <f>-($C$9*$C$8)/$C$5*F22</f>
        <v>-88854747.956716746</v>
      </c>
      <c r="G26" s="2">
        <f t="shared" ref="G26:AJ26" si="37">-($C$9*$C$8)/$C$5*G22</f>
        <v>-86462747.956716746</v>
      </c>
      <c r="H26" s="2">
        <f t="shared" si="37"/>
        <v>-84429332.463990465</v>
      </c>
      <c r="I26" s="2">
        <f t="shared" si="37"/>
        <v>-82423969.825213656</v>
      </c>
      <c r="J26" s="2">
        <f t="shared" si="37"/>
        <v>-80446071.422171533</v>
      </c>
      <c r="K26" s="2">
        <f t="shared" si="37"/>
        <v>-78495006.824975371</v>
      </c>
      <c r="L26" s="2">
        <f t="shared" si="37"/>
        <v>-76570104.751822993</v>
      </c>
      <c r="M26" s="2">
        <f t="shared" si="37"/>
        <v>-74670654.090952188</v>
      </c>
      <c r="N26" s="2">
        <f t="shared" si="37"/>
        <v>-72795904.983231306</v>
      </c>
      <c r="O26" s="2">
        <f t="shared" si="37"/>
        <v>-70945069.963739291</v>
      </c>
      <c r="P26" s="2">
        <f t="shared" si="37"/>
        <v>-69117325.160597056</v>
      </c>
      <c r="Q26" s="2">
        <f t="shared" si="37"/>
        <v>-67311811.549225539</v>
      </c>
      <c r="R26" s="2">
        <f t="shared" si="37"/>
        <v>-65527636.260120831</v>
      </c>
      <c r="S26" s="2">
        <f t="shared" si="37"/>
        <v>-63763873.938155651</v>
      </c>
      <c r="T26" s="2">
        <f t="shared" si="37"/>
        <v>-62019568.151338078</v>
      </c>
      <c r="U26" s="2">
        <f t="shared" si="37"/>
        <v>-60293732.846882612</v>
      </c>
      <c r="V26" s="2">
        <f t="shared" si="37"/>
        <v>-58585353.852377176</v>
      </c>
      <c r="W26" s="2">
        <f t="shared" si="37"/>
        <v>-56893390.419760637</v>
      </c>
      <c r="X26" s="2">
        <f t="shared" si="37"/>
        <v>-55216776.809760436</v>
      </c>
      <c r="Y26" s="2">
        <f t="shared" si="37"/>
        <v>-53554423.914378166</v>
      </c>
      <c r="Z26" s="2">
        <f t="shared" si="37"/>
        <v>-51905220.914953031</v>
      </c>
      <c r="AA26" s="2">
        <f t="shared" si="37"/>
        <v>-50268036.97327897</v>
      </c>
      <c r="AB26" s="2">
        <f t="shared" si="37"/>
        <v>-48641722.953200884</v>
      </c>
      <c r="AC26" s="2">
        <f t="shared" si="37"/>
        <v>-47025113.170068875</v>
      </c>
      <c r="AD26" s="2">
        <f t="shared" si="37"/>
        <v>-45417027.165387206</v>
      </c>
      <c r="AE26" s="2">
        <f t="shared" si="37"/>
        <v>-43816271.503956072</v>
      </c>
      <c r="AF26" s="2">
        <f t="shared" si="37"/>
        <v>-42221641.590770081</v>
      </c>
      <c r="AG26" s="2">
        <f t="shared" si="37"/>
        <v>-40631923.504907452</v>
      </c>
      <c r="AH26" s="2">
        <f t="shared" si="37"/>
        <v>-39045895.847617626</v>
      </c>
      <c r="AI26" s="2">
        <f t="shared" si="37"/>
        <v>-37462331.60179393</v>
      </c>
      <c r="AJ26" s="2">
        <f t="shared" si="37"/>
        <v>-35880000</v>
      </c>
    </row>
    <row r="27" spans="2:36" x14ac:dyDescent="0.3">
      <c r="E27" s="2" t="s">
        <v>21</v>
      </c>
      <c r="F27" s="2">
        <v>0</v>
      </c>
      <c r="G27" s="2">
        <f>$C$14/($C$15-$C$16*F27)</f>
        <v>0.47923322683706071</v>
      </c>
      <c r="H27" s="2">
        <f t="shared" ref="H27" si="38">$C$14/($C$15-$C$16*G27)</f>
        <v>0.62210974042322009</v>
      </c>
      <c r="I27" s="2">
        <f t="shared" ref="I27" si="39">$C$14/($C$15-$C$16*H27)</f>
        <v>0.68280036240378583</v>
      </c>
      <c r="J27" s="2">
        <f t="shared" ref="J27" si="40">$C$14/($C$15-$C$16*I27)</f>
        <v>0.71231854270130357</v>
      </c>
      <c r="K27" s="2">
        <f t="shared" ref="K27" si="41">$C$14/($C$15-$C$16*J27)</f>
        <v>0.72761768474986643</v>
      </c>
      <c r="L27" s="2">
        <f t="shared" ref="L27" si="42">$C$14/($C$15-$C$16*K27)</f>
        <v>0.73580865245165905</v>
      </c>
      <c r="M27" s="2">
        <f t="shared" ref="M27" si="43">$C$14/($C$15-$C$16*L27)</f>
        <v>0.74027025007591674</v>
      </c>
      <c r="N27" s="2">
        <f t="shared" ref="N27" si="44">$C$14/($C$15-$C$16*M27)</f>
        <v>0.74272330769575978</v>
      </c>
      <c r="O27" s="2">
        <f t="shared" ref="O27" si="45">$C$14/($C$15-$C$16*N27)</f>
        <v>0.7440789772313966</v>
      </c>
      <c r="P27" s="2">
        <f t="shared" ref="P27" si="46">$C$14/($C$15-$C$16*O27)</f>
        <v>0.74483030633226499</v>
      </c>
      <c r="Q27" s="2">
        <f t="shared" ref="Q27" si="47">$C$14/($C$15-$C$16*P27)</f>
        <v>0.74524735620578053</v>
      </c>
      <c r="R27" s="2">
        <f t="shared" ref="R27" si="48">$C$14/($C$15-$C$16*Q27)</f>
        <v>0.74547905505879375</v>
      </c>
      <c r="S27" s="2">
        <f t="shared" ref="S27" si="49">$C$14/($C$15-$C$16*R27)</f>
        <v>0.74560784139748904</v>
      </c>
      <c r="T27" s="2">
        <f t="shared" ref="T27" si="50">$C$14/($C$15-$C$16*S27)</f>
        <v>0.74567944459802482</v>
      </c>
      <c r="U27" s="2">
        <f t="shared" ref="U27" si="51">$C$14/($C$15-$C$16*T27)</f>
        <v>0.74571926081247353</v>
      </c>
      <c r="V27" s="2">
        <f t="shared" ref="V27" si="52">$C$14/($C$15-$C$16*U27)</f>
        <v>0.7457414031559223</v>
      </c>
      <c r="W27" s="2">
        <f t="shared" ref="W27" si="53">$C$14/($C$15-$C$16*V27)</f>
        <v>0.74575371738604534</v>
      </c>
      <c r="X27" s="2">
        <f t="shared" ref="X27" si="54">$C$14/($C$15-$C$16*W27)</f>
        <v>0.74576056599086782</v>
      </c>
      <c r="Y27" s="2">
        <f t="shared" ref="Y27" si="55">$C$14/($C$15-$C$16*X27)</f>
        <v>0.74576437492231062</v>
      </c>
      <c r="Z27" s="2">
        <f t="shared" ref="Z27" si="56">$C$14/($C$15-$C$16*Y27)</f>
        <v>0.74576649332079048</v>
      </c>
      <c r="AA27" s="2">
        <f t="shared" ref="AA27" si="57">$C$14/($C$15-$C$16*Z27)</f>
        <v>0.74576767150738277</v>
      </c>
      <c r="AB27" s="2">
        <f t="shared" ref="AB27" si="58">$C$14/($C$15-$C$16*AA27)</f>
        <v>0.74576832677931204</v>
      </c>
      <c r="AC27" s="2">
        <f t="shared" ref="AC27" si="59">$C$14/($C$15-$C$16*AB27)</f>
        <v>0.74576869122233935</v>
      </c>
      <c r="AD27" s="2">
        <f t="shared" ref="AD27" si="60">$C$14/($C$15-$C$16*AC27)</f>
        <v>0.74576889391501577</v>
      </c>
      <c r="AE27" s="2">
        <f t="shared" ref="AE27" si="61">$C$14/($C$15-$C$16*AD27)</f>
        <v>0.74576900664687074</v>
      </c>
      <c r="AF27" s="2">
        <f t="shared" ref="AF27" si="62">$C$14/($C$15-$C$16*AE27)</f>
        <v>0.74576906934511078</v>
      </c>
      <c r="AG27" s="2">
        <f t="shared" ref="AG27" si="63">$C$14/($C$15-$C$16*AF27)</f>
        <v>0.74576910421608689</v>
      </c>
      <c r="AH27" s="2">
        <f t="shared" ref="AH27" si="64">$C$14/($C$15-$C$16*AG27)</f>
        <v>0.74576912361033254</v>
      </c>
      <c r="AI27" s="2">
        <f t="shared" ref="AI27" si="65">$C$14/($C$15-$C$16*AH27)</f>
        <v>0.74576913439686099</v>
      </c>
      <c r="AJ27" s="2">
        <f t="shared" ref="AJ27" si="66">$C$14/($C$15-$C$16*AI27)</f>
        <v>0.74576914039602182</v>
      </c>
    </row>
    <row r="28" spans="2:36" x14ac:dyDescent="0.3">
      <c r="E28" s="2" t="s">
        <v>22</v>
      </c>
      <c r="F28" s="2">
        <f>F22</f>
        <v>247.64422507446139</v>
      </c>
      <c r="G28" s="2">
        <f>(F28*$C$16-G26)/($C$15-$C$16*F27)</f>
        <v>128.68799367562474</v>
      </c>
      <c r="H28" s="2">
        <f>(G28*$C$16-H26)/($C$15-$C$16*G27)</f>
        <v>92.745085767040678</v>
      </c>
      <c r="I28" s="2">
        <f t="shared" ref="I28" si="67">(H28*$C$16-I26)/($C$15-$C$16*H27)</f>
        <v>76.920367657788333</v>
      </c>
      <c r="J28" s="2">
        <f t="shared" ref="J28" si="68">(I28*$C$16-J26)/($C$15-$C$16*I27)</f>
        <v>68.633163701649636</v>
      </c>
      <c r="K28" s="2">
        <f t="shared" ref="K28" si="69">(J28*$C$16-K26)/($C$15-$C$16*J27)</f>
        <v>63.734441623859055</v>
      </c>
      <c r="L28" s="2">
        <f t="shared" ref="L28" si="70">(K28*$C$16-L26)/($C$15-$C$16*K27)</f>
        <v>60.505277662899857</v>
      </c>
      <c r="M28" s="2">
        <f t="shared" ref="M28" si="71">(L28*$C$16-M26)/($C$15-$C$16*L27)</f>
        <v>58.142059871171966</v>
      </c>
      <c r="N28" s="2">
        <f t="shared" ref="N28" si="72">(M28*$C$16-N26)/($C$15-$C$16*M27)</f>
        <v>56.24317687300131</v>
      </c>
      <c r="O28" s="2">
        <f t="shared" ref="O28" si="73">(N28*$C$16-O26)/($C$15-$C$16*N27)</f>
        <v>54.600267721547205</v>
      </c>
      <c r="P28" s="2">
        <f t="shared" ref="P28" si="74">(O28*$C$16-P26)/($C$15-$C$16*O27)</f>
        <v>53.102880623741541</v>
      </c>
      <c r="Q28" s="2">
        <f t="shared" ref="Q28" si="75">(P28*$C$16-Q26)/($C$15-$C$16*P27)</f>
        <v>51.691677430035242</v>
      </c>
      <c r="R28" s="2">
        <f t="shared" ref="R28" si="76">(Q28*$C$16-R26)/($C$15-$C$16*Q27)</f>
        <v>50.334454236113615</v>
      </c>
      <c r="S28" s="2">
        <f t="shared" ref="S28" si="77">(R28*$C$16-S26)/($C$15-$C$16*R27)</f>
        <v>49.013542612979379</v>
      </c>
      <c r="T28" s="2">
        <f t="shared" ref="T28" si="78">(S28*$C$16-T26)/($C$15-$C$16*S27)</f>
        <v>47.719095854997931</v>
      </c>
      <c r="U28" s="2">
        <f t="shared" ref="U28" si="79">(T28*$C$16-U26)/($C$15-$C$16*T27)</f>
        <v>46.445483160624299</v>
      </c>
      <c r="V28" s="2">
        <f t="shared" ref="V28" si="80">(U28*$C$16-V26)/($C$15-$C$16*U27)</f>
        <v>45.189344899912349</v>
      </c>
      <c r="W28" s="2">
        <f t="shared" ref="W28" si="81">(V28*$C$16-W26)/($C$15-$C$16*V27)</f>
        <v>43.94854160724158</v>
      </c>
      <c r="X28" s="2">
        <f t="shared" ref="X28" si="82">(W28*$C$16-X26)/($C$15-$C$16*W27)</f>
        <v>42.721585574078667</v>
      </c>
      <c r="Y28" s="2">
        <f t="shared" ref="Y28" si="83">(X28*$C$16-Y26)/($C$15-$C$16*X27)</f>
        <v>41.507333535939566</v>
      </c>
      <c r="Z28" s="2">
        <f t="shared" ref="Z28" si="84">(Y28*$C$16-Z26)/($C$15-$C$16*Y27)</f>
        <v>40.304820748915226</v>
      </c>
      <c r="AA28" s="2">
        <f t="shared" ref="AA28" si="85">(Z28*$C$16-AA26)/($C$15-$C$16*Z27)</f>
        <v>39.113171664597793</v>
      </c>
      <c r="AB28" s="2">
        <f t="shared" ref="AB28" si="86">(AA28*$C$16-AB26)/($C$15-$C$16*AA27)</f>
        <v>37.93155210870902</v>
      </c>
      <c r="AC28" s="2">
        <f t="shared" ref="AC28" si="87">(AB28*$C$16-AC26)/($C$15-$C$16*AB27)</f>
        <v>36.759143948816515</v>
      </c>
      <c r="AD28" s="2">
        <f t="shared" ref="AD28" si="88">(AC28*$C$16-AD26)/($C$15-$C$16*AC27)</f>
        <v>35.59513194861885</v>
      </c>
      <c r="AE28" s="2">
        <f t="shared" ref="AE28" si="89">(AD28*$C$16-AE26)/($C$15-$C$16*AD27)</f>
        <v>34.438697227267639</v>
      </c>
      <c r="AF28" s="2">
        <f t="shared" ref="AF28" si="90">(AE28*$C$16-AF26)/($C$15-$C$16*AE27)</f>
        <v>33.289014300292372</v>
      </c>
      <c r="AG28" s="2">
        <f t="shared" ref="AG28" si="91">(AF28*$C$16-AG26)/($C$15-$C$16*AF27)</f>
        <v>32.145250064538352</v>
      </c>
      <c r="AH28" s="2">
        <f t="shared" ref="AH28" si="92">(AG28*$C$16-AH26)/($C$15-$C$16*AG27)</f>
        <v>31.006563840087516</v>
      </c>
      <c r="AI28" s="2">
        <f t="shared" ref="AI28" si="93">(AH28*$C$16-AI26)/($C$15-$C$16*AH27)</f>
        <v>29.872107988483183</v>
      </c>
      <c r="AJ28" s="2">
        <f t="shared" ref="AJ28" si="94">(AI28*$C$16-AJ26)/($C$15-$C$16*AI27)</f>
        <v>28.741028846487097</v>
      </c>
    </row>
    <row r="33" spans="2:36" x14ac:dyDescent="0.3">
      <c r="E33" s="2"/>
      <c r="F33" s="2">
        <v>1</v>
      </c>
      <c r="G33" s="2">
        <v>2</v>
      </c>
      <c r="H33" s="2">
        <v>3</v>
      </c>
      <c r="I33" s="2">
        <v>4</v>
      </c>
      <c r="J33" s="2">
        <v>5</v>
      </c>
      <c r="K33" s="2">
        <v>6</v>
      </c>
      <c r="L33" s="2">
        <v>7</v>
      </c>
      <c r="M33" s="2">
        <v>8</v>
      </c>
      <c r="N33" s="2">
        <v>9</v>
      </c>
      <c r="O33" s="2">
        <v>10</v>
      </c>
      <c r="P33" s="2">
        <v>11</v>
      </c>
      <c r="Q33" s="2">
        <v>12</v>
      </c>
      <c r="R33" s="2">
        <v>13</v>
      </c>
      <c r="S33" s="2">
        <v>14</v>
      </c>
      <c r="T33" s="2">
        <v>15</v>
      </c>
      <c r="U33" s="2">
        <v>16</v>
      </c>
      <c r="V33" s="2">
        <v>17</v>
      </c>
      <c r="W33" s="2">
        <v>18</v>
      </c>
      <c r="X33" s="2">
        <v>19</v>
      </c>
      <c r="Y33" s="2">
        <v>20</v>
      </c>
      <c r="Z33" s="2">
        <v>21</v>
      </c>
      <c r="AA33" s="2">
        <v>22</v>
      </c>
      <c r="AB33" s="2">
        <v>23</v>
      </c>
      <c r="AC33" s="2">
        <v>24</v>
      </c>
      <c r="AD33" s="2">
        <v>25</v>
      </c>
      <c r="AE33" s="2">
        <v>26</v>
      </c>
      <c r="AF33" s="2">
        <v>27</v>
      </c>
      <c r="AG33" s="2">
        <v>28</v>
      </c>
      <c r="AH33" s="2">
        <v>29</v>
      </c>
      <c r="AI33" s="2">
        <v>30</v>
      </c>
      <c r="AJ33" s="2">
        <v>31</v>
      </c>
    </row>
    <row r="34" spans="2:36" x14ac:dyDescent="0.3">
      <c r="B34" s="2" t="s">
        <v>11</v>
      </c>
      <c r="C34" s="3">
        <v>92000</v>
      </c>
      <c r="E34" s="2" t="s">
        <v>0</v>
      </c>
      <c r="F34" s="5">
        <v>0</v>
      </c>
      <c r="G34" s="5">
        <f>F34+$C$4</f>
        <v>3.3333333333333335E-3</v>
      </c>
      <c r="H34" s="5">
        <f t="shared" ref="H34" si="95">G34+$C$4</f>
        <v>6.6666666666666671E-3</v>
      </c>
      <c r="I34" s="5">
        <f t="shared" ref="I34" si="96">H34+$C$4</f>
        <v>0.01</v>
      </c>
      <c r="J34" s="5">
        <f t="shared" ref="J34" si="97">I34+$C$4</f>
        <v>1.3333333333333334E-2</v>
      </c>
      <c r="K34" s="5">
        <f t="shared" ref="K34" si="98">J34+$C$4</f>
        <v>1.6666666666666666E-2</v>
      </c>
      <c r="L34" s="5">
        <f t="shared" ref="L34" si="99">K34+$C$4</f>
        <v>0.02</v>
      </c>
      <c r="M34" s="5">
        <f t="shared" ref="M34" si="100">L34+$C$4</f>
        <v>2.3333333333333334E-2</v>
      </c>
      <c r="N34" s="5">
        <f t="shared" ref="N34" si="101">M34+$C$4</f>
        <v>2.6666666666666668E-2</v>
      </c>
      <c r="O34" s="5">
        <f t="shared" ref="O34" si="102">N34+$C$4</f>
        <v>3.0000000000000002E-2</v>
      </c>
      <c r="P34" s="5">
        <f t="shared" ref="P34" si="103">O34+$C$4</f>
        <v>3.3333333333333333E-2</v>
      </c>
      <c r="Q34" s="5">
        <f t="shared" ref="Q34" si="104">P34+$C$4</f>
        <v>3.6666666666666667E-2</v>
      </c>
      <c r="R34" s="5">
        <f t="shared" ref="R34" si="105">Q34+$C$4</f>
        <v>0.04</v>
      </c>
      <c r="S34" s="5">
        <f t="shared" ref="S34" si="106">R34+$C$4</f>
        <v>4.3333333333333335E-2</v>
      </c>
      <c r="T34" s="5">
        <f t="shared" ref="T34" si="107">S34+$C$4</f>
        <v>4.6666666666666669E-2</v>
      </c>
      <c r="U34" s="5">
        <f t="shared" ref="U34" si="108">T34+$C$4</f>
        <v>0.05</v>
      </c>
      <c r="V34" s="5">
        <f t="shared" ref="V34" si="109">U34+$C$4</f>
        <v>5.3333333333333337E-2</v>
      </c>
      <c r="W34" s="5">
        <f t="shared" ref="W34" si="110">V34+$C$4</f>
        <v>5.6666666666666671E-2</v>
      </c>
      <c r="X34" s="5">
        <f t="shared" ref="X34" si="111">W34+$C$4</f>
        <v>6.0000000000000005E-2</v>
      </c>
      <c r="Y34" s="5">
        <f t="shared" ref="Y34" si="112">X34+$C$4</f>
        <v>6.3333333333333339E-2</v>
      </c>
      <c r="Z34" s="5">
        <f t="shared" ref="Z34" si="113">Y34+$C$4</f>
        <v>6.6666666666666666E-2</v>
      </c>
      <c r="AA34" s="5">
        <f t="shared" ref="AA34" si="114">Z34+$C$4</f>
        <v>6.9999999999999993E-2</v>
      </c>
      <c r="AB34" s="5">
        <f t="shared" ref="AB34" si="115">AA34+$C$4</f>
        <v>7.333333333333332E-2</v>
      </c>
      <c r="AC34" s="5">
        <f t="shared" ref="AC34" si="116">AB34+$C$4</f>
        <v>7.6666666666666647E-2</v>
      </c>
      <c r="AD34" s="5">
        <f t="shared" ref="AD34" si="117">AC34+$C$4</f>
        <v>7.9999999999999974E-2</v>
      </c>
      <c r="AE34" s="5">
        <f t="shared" ref="AE34" si="118">AD34+$C$4</f>
        <v>8.3333333333333301E-2</v>
      </c>
      <c r="AF34" s="5">
        <f t="shared" ref="AF34" si="119">AE34+$C$4</f>
        <v>8.6666666666666628E-2</v>
      </c>
      <c r="AG34" s="5">
        <f t="shared" ref="AG34" si="120">AF34+$C$4</f>
        <v>8.9999999999999955E-2</v>
      </c>
      <c r="AH34" s="5">
        <f t="shared" ref="AH34" si="121">AG34+$C$4</f>
        <v>9.3333333333333282E-2</v>
      </c>
      <c r="AI34" s="5">
        <f t="shared" ref="AI34" si="122">AH34+$C$4</f>
        <v>9.6666666666666609E-2</v>
      </c>
      <c r="AJ34" s="5">
        <f t="shared" ref="AJ34" si="123">AI34+$C$4</f>
        <v>9.9999999999999936E-2</v>
      </c>
    </row>
    <row r="35" spans="2:36" x14ac:dyDescent="0.3">
      <c r="B35" s="2" t="s">
        <v>9</v>
      </c>
      <c r="C35" s="3">
        <v>100</v>
      </c>
      <c r="E35" s="2" t="s">
        <v>7</v>
      </c>
      <c r="F35" s="2">
        <f>($C$37*$C$4*$C$36+$C$10*$G$35)/($C$10+$C$37*$C$4)</f>
        <v>299.99985163261891</v>
      </c>
      <c r="G35" s="2">
        <v>293.3331742146928</v>
      </c>
      <c r="H35" s="2">
        <v>286.66649776466045</v>
      </c>
      <c r="I35" s="2">
        <v>279.99982234203355</v>
      </c>
      <c r="J35" s="2">
        <v>273.33314800007156</v>
      </c>
      <c r="K35" s="2">
        <v>266.66647478546452</v>
      </c>
      <c r="L35" s="2">
        <v>259.99980273803936</v>
      </c>
      <c r="M35" s="2">
        <v>253.33313189053024</v>
      </c>
      <c r="N35" s="2">
        <v>246.66646226836411</v>
      </c>
      <c r="O35" s="2">
        <v>239.99979388952389</v>
      </c>
      <c r="P35" s="2">
        <v>233.33312676441892</v>
      </c>
      <c r="Q35" s="2">
        <v>226.66646089584373</v>
      </c>
      <c r="R35" s="2">
        <v>219.9997962789374</v>
      </c>
      <c r="S35" s="2">
        <v>213.33313290123812</v>
      </c>
      <c r="T35" s="2">
        <v>206.66647074273277</v>
      </c>
      <c r="U35" s="2">
        <v>199.99980977600597</v>
      </c>
      <c r="V35" s="2">
        <v>193.33314996637864</v>
      </c>
      <c r="W35" s="2">
        <v>186.66649127214777</v>
      </c>
      <c r="X35" s="2">
        <v>179.99983364481102</v>
      </c>
      <c r="Y35" s="2">
        <v>173.33317702939058</v>
      </c>
      <c r="Z35" s="2">
        <v>166.66652136473954</v>
      </c>
      <c r="AA35" s="2">
        <v>159.99986658394076</v>
      </c>
      <c r="AB35" s="2">
        <v>153.33321261468828</v>
      </c>
      <c r="AC35" s="2">
        <v>146.66655937975133</v>
      </c>
      <c r="AD35" s="2">
        <v>139.99990679742166</v>
      </c>
      <c r="AE35" s="2">
        <v>133.33325478203096</v>
      </c>
      <c r="AF35" s="2">
        <v>126.66660324445392</v>
      </c>
      <c r="AG35" s="2">
        <v>119.99995209266579</v>
      </c>
      <c r="AH35" s="2">
        <v>113.33330123228947</v>
      </c>
      <c r="AI35" s="2">
        <v>106.66665056717957</v>
      </c>
      <c r="AJ35" s="2">
        <v>100</v>
      </c>
    </row>
    <row r="36" spans="2:36" x14ac:dyDescent="0.3">
      <c r="B36" t="s">
        <v>14</v>
      </c>
      <c r="C36">
        <v>392</v>
      </c>
    </row>
    <row r="37" spans="2:36" x14ac:dyDescent="0.3">
      <c r="B37" t="s">
        <v>15</v>
      </c>
      <c r="C37">
        <v>1000</v>
      </c>
      <c r="E37" s="2" t="s">
        <v>12</v>
      </c>
      <c r="F37" s="2"/>
      <c r="G37" s="2">
        <f>G35+(($C$10*$C$5)/($C$9*$C$8))*((H35-2*G35+F35)/($C$4^2))</f>
        <v>293.33318538269765</v>
      </c>
      <c r="H37" s="2">
        <f t="shared" ref="H37:AI37" si="124">H35+(($C$10*$C$5)/($C$9*$C$8))*((I35-2*H35+G35)/($C$4^2))</f>
        <v>286.66650961933885</v>
      </c>
      <c r="I37" s="2">
        <f t="shared" si="124"/>
        <v>279.99983481124394</v>
      </c>
      <c r="J37" s="2">
        <f t="shared" si="124"/>
        <v>273.33316100801329</v>
      </c>
      <c r="K37" s="2">
        <f t="shared" si="124"/>
        <v>266.66648825294789</v>
      </c>
      <c r="L37" s="2">
        <f t="shared" si="124"/>
        <v>259.99981658322429</v>
      </c>
      <c r="M37" s="2">
        <f t="shared" si="124"/>
        <v>253.33314602910329</v>
      </c>
      <c r="N37" s="2">
        <f t="shared" si="124"/>
        <v>246.66647661443216</v>
      </c>
      <c r="O37" s="2">
        <f t="shared" si="124"/>
        <v>239.9998083557</v>
      </c>
      <c r="P37" s="2">
        <f t="shared" si="124"/>
        <v>233.33314126283935</v>
      </c>
      <c r="Q37" s="2">
        <f t="shared" si="124"/>
        <v>226.66647533817675</v>
      </c>
      <c r="R37" s="2">
        <f t="shared" si="124"/>
        <v>219.9998105774803</v>
      </c>
      <c r="S37" s="2">
        <f t="shared" si="124"/>
        <v>213.33314696886043</v>
      </c>
      <c r="T37" s="2">
        <f t="shared" si="124"/>
        <v>206.66648449402373</v>
      </c>
      <c r="U37" s="2">
        <f t="shared" si="124"/>
        <v>199.9998231271536</v>
      </c>
      <c r="V37" s="2">
        <f t="shared" si="124"/>
        <v>193.33316283633778</v>
      </c>
      <c r="W37" s="2">
        <f t="shared" si="124"/>
        <v>186.66650358246463</v>
      </c>
      <c r="X37" s="2">
        <f t="shared" si="124"/>
        <v>179.99984532076846</v>
      </c>
      <c r="Y37" s="2">
        <f t="shared" si="124"/>
        <v>173.33318799980663</v>
      </c>
      <c r="Z37" s="2">
        <f t="shared" si="124"/>
        <v>166.66653156303491</v>
      </c>
      <c r="AA37" s="2">
        <f t="shared" si="124"/>
        <v>159.99987594793654</v>
      </c>
      <c r="AB37" s="2">
        <f t="shared" si="124"/>
        <v>153.33322108755982</v>
      </c>
      <c r="AC37" s="2">
        <f t="shared" si="124"/>
        <v>146.66656690983521</v>
      </c>
      <c r="AD37" s="2">
        <f t="shared" si="124"/>
        <v>139.99991333902526</v>
      </c>
      <c r="AE37" s="2">
        <f t="shared" si="124"/>
        <v>133.33326029526563</v>
      </c>
      <c r="AF37" s="2">
        <f t="shared" si="124"/>
        <v>126.66660769586424</v>
      </c>
      <c r="AG37" s="2">
        <f t="shared" si="124"/>
        <v>119.99995545510974</v>
      </c>
      <c r="AH37" s="2">
        <f t="shared" si="124"/>
        <v>113.33330348536359</v>
      </c>
      <c r="AI37" s="2">
        <f t="shared" si="124"/>
        <v>106.66665169714486</v>
      </c>
    </row>
    <row r="38" spans="2:36" x14ac:dyDescent="0.3">
      <c r="E38" s="2" t="s">
        <v>13</v>
      </c>
      <c r="F38" s="2">
        <v>92000</v>
      </c>
      <c r="G38" s="33">
        <f>-$C$10*(G35-F35)/$C$4</f>
        <v>92000.148367380301</v>
      </c>
      <c r="H38" s="33">
        <f t="shared" ref="H38:AI38" si="125">-$C$10*(H35-G35)/$C$4</f>
        <v>92000.135010446495</v>
      </c>
      <c r="I38" s="33">
        <f t="shared" si="125"/>
        <v>92000.120832251137</v>
      </c>
      <c r="J38" s="33">
        <f t="shared" si="125"/>
        <v>92000.105919075504</v>
      </c>
      <c r="K38" s="33">
        <f t="shared" si="125"/>
        <v>92000.090361577211</v>
      </c>
      <c r="L38" s="33">
        <f t="shared" si="125"/>
        <v>92000.074254467094</v>
      </c>
      <c r="M38" s="33">
        <f t="shared" si="125"/>
        <v>92000.057695625903</v>
      </c>
      <c r="N38" s="33">
        <f t="shared" si="125"/>
        <v>92000.040785892532</v>
      </c>
      <c r="O38" s="33">
        <f t="shared" si="125"/>
        <v>92000.023627995135</v>
      </c>
      <c r="P38" s="33">
        <f t="shared" si="125"/>
        <v>92000.006326448507</v>
      </c>
      <c r="Q38" s="33">
        <f t="shared" si="125"/>
        <v>91999.988986337674</v>
      </c>
      <c r="R38" s="33">
        <f t="shared" si="125"/>
        <v>91999.971713307372</v>
      </c>
      <c r="S38" s="33">
        <f t="shared" si="125"/>
        <v>91999.954612250047</v>
      </c>
      <c r="T38" s="33">
        <f t="shared" si="125"/>
        <v>91999.937787373769</v>
      </c>
      <c r="U38" s="33">
        <f t="shared" si="125"/>
        <v>91999.921340829766</v>
      </c>
      <c r="V38" s="33">
        <f t="shared" si="125"/>
        <v>91999.905372857189</v>
      </c>
      <c r="W38" s="33">
        <f t="shared" si="125"/>
        <v>91999.88998038607</v>
      </c>
      <c r="X38" s="33">
        <f t="shared" si="125"/>
        <v>91999.875257247098</v>
      </c>
      <c r="Y38" s="33">
        <f t="shared" si="125"/>
        <v>91999.861292802016</v>
      </c>
      <c r="Z38" s="33">
        <f t="shared" si="125"/>
        <v>91999.848172184429</v>
      </c>
      <c r="AA38" s="33">
        <f t="shared" si="125"/>
        <v>91999.835975023161</v>
      </c>
      <c r="AB38" s="33">
        <f t="shared" si="125"/>
        <v>91999.824775684203</v>
      </c>
      <c r="AC38" s="33">
        <f t="shared" si="125"/>
        <v>91999.81464212983</v>
      </c>
      <c r="AD38" s="33">
        <f t="shared" si="125"/>
        <v>91999.805636149511</v>
      </c>
      <c r="AE38" s="33">
        <f t="shared" si="125"/>
        <v>91999.797812391596</v>
      </c>
      <c r="AF38" s="33">
        <f t="shared" si="125"/>
        <v>91999.791218563143</v>
      </c>
      <c r="AG38" s="33">
        <f t="shared" si="125"/>
        <v>91999.785894676199</v>
      </c>
      <c r="AH38" s="33">
        <f t="shared" si="125"/>
        <v>91999.781873193249</v>
      </c>
      <c r="AI38" s="33">
        <f t="shared" si="125"/>
        <v>91999.77917851659</v>
      </c>
    </row>
  </sheetData>
  <conditionalFormatting sqref="F35:AJ35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00B0F0"/>
      </colorScale>
    </cfRule>
  </conditionalFormatting>
  <conditionalFormatting sqref="F22:AJ22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00B0F0"/>
      </colorScale>
    </cfRule>
  </conditionalFormatting>
  <conditionalFormatting sqref="F13:AJ1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00B0F0"/>
      </colorScale>
    </cfRule>
  </conditionalFormatting>
  <conditionalFormatting sqref="AN20:BR20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Неявная_2D</vt:lpstr>
      <vt:lpstr>Неявная_1D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Ильин Илья</dc:creator>
  <cp:lastModifiedBy>111</cp:lastModifiedBy>
  <dcterms:created xsi:type="dcterms:W3CDTF">2021-02-19T10:02:37Z</dcterms:created>
  <dcterms:modified xsi:type="dcterms:W3CDTF">2021-04-17T15:46:45Z</dcterms:modified>
</cp:coreProperties>
</file>