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111\Downloads\"/>
    </mc:Choice>
  </mc:AlternateContent>
  <bookViews>
    <workbookView xWindow="0" yWindow="0" windowWidth="23040" windowHeight="8820" activeTab="1"/>
  </bookViews>
  <sheets>
    <sheet name="Неявный" sheetId="1" r:id="rId1"/>
    <sheet name="Явный" sheetId="2" r:id="rId2"/>
  </sheets>
  <externalReferences>
    <externalReference r:id="rId3"/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AI34" i="2" s="1"/>
  <c r="Z34" i="2" l="1"/>
  <c r="AC25" i="2"/>
  <c r="X34" i="2"/>
  <c r="M34" i="2"/>
  <c r="AE25" i="2"/>
  <c r="N34" i="2"/>
  <c r="T25" i="2"/>
  <c r="I25" i="2"/>
  <c r="U25" i="2"/>
  <c r="AG25" i="2"/>
  <c r="P34" i="2"/>
  <c r="AB34" i="2"/>
  <c r="F31" i="2"/>
  <c r="G34" i="2" s="1"/>
  <c r="H25" i="2"/>
  <c r="J25" i="2"/>
  <c r="V25" i="2"/>
  <c r="AH25" i="2"/>
  <c r="Q34" i="2"/>
  <c r="AC34" i="2"/>
  <c r="C5" i="2"/>
  <c r="AF25" i="2"/>
  <c r="O34" i="2"/>
  <c r="K25" i="2"/>
  <c r="W25" i="2"/>
  <c r="AI25" i="2"/>
  <c r="R34" i="2"/>
  <c r="AD34" i="2"/>
  <c r="L34" i="2"/>
  <c r="AD25" i="2"/>
  <c r="Y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S25" i="2"/>
  <c r="L25" i="2"/>
  <c r="X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S34" i="2"/>
  <c r="AE34" i="2"/>
  <c r="Q25" i="2"/>
  <c r="R25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A34" i="2"/>
  <c r="F22" i="2"/>
  <c r="G25" i="2" s="1"/>
  <c r="M25" i="2"/>
  <c r="Y25" i="2"/>
  <c r="H34" i="2"/>
  <c r="T34" i="2"/>
  <c r="AF34" i="2"/>
  <c r="N25" i="2"/>
  <c r="AG34" i="2"/>
  <c r="O25" i="2"/>
  <c r="AA25" i="2"/>
  <c r="J34" i="2"/>
  <c r="V34" i="2"/>
  <c r="AH34" i="2"/>
  <c r="Z25" i="2"/>
  <c r="I34" i="2"/>
  <c r="U34" i="2"/>
  <c r="P25" i="2"/>
  <c r="AB25" i="2"/>
  <c r="K34" i="2"/>
  <c r="W34" i="2"/>
  <c r="AG38" i="1"/>
  <c r="Z38" i="1"/>
  <c r="X38" i="1"/>
  <c r="U38" i="1"/>
  <c r="N38" i="1"/>
  <c r="L38" i="1"/>
  <c r="I38" i="1"/>
  <c r="AE37" i="1"/>
  <c r="AC37" i="1"/>
  <c r="Z37" i="1"/>
  <c r="S37" i="1"/>
  <c r="Q37" i="1"/>
  <c r="N37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AH25" i="1"/>
  <c r="AA25" i="1"/>
  <c r="Y25" i="1"/>
  <c r="V25" i="1"/>
  <c r="O25" i="1"/>
  <c r="M25" i="1"/>
  <c r="J25" i="1"/>
  <c r="F22" i="1"/>
  <c r="F26" i="1" s="1"/>
  <c r="F18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C16" i="1"/>
  <c r="C14" i="1"/>
  <c r="C4" i="1"/>
  <c r="AI38" i="1" s="1"/>
  <c r="AB33" i="2" l="1"/>
  <c r="P33" i="2"/>
  <c r="AG24" i="2"/>
  <c r="U24" i="2"/>
  <c r="I24" i="2"/>
  <c r="AG15" i="2"/>
  <c r="U15" i="2"/>
  <c r="I15" i="2"/>
  <c r="N33" i="2"/>
  <c r="AE24" i="2"/>
  <c r="S24" i="2"/>
  <c r="S15" i="2"/>
  <c r="K24" i="2"/>
  <c r="J24" i="2"/>
  <c r="AA33" i="2"/>
  <c r="O33" i="2"/>
  <c r="AF24" i="2"/>
  <c r="T24" i="2"/>
  <c r="H24" i="2"/>
  <c r="AF15" i="2"/>
  <c r="T15" i="2"/>
  <c r="H15" i="2"/>
  <c r="Z33" i="2"/>
  <c r="G24" i="2"/>
  <c r="AE15" i="2"/>
  <c r="G15" i="2"/>
  <c r="Y33" i="2"/>
  <c r="M33" i="2"/>
  <c r="AD24" i="2"/>
  <c r="R24" i="2"/>
  <c r="AD15" i="2"/>
  <c r="R15" i="2"/>
  <c r="N15" i="2"/>
  <c r="Y24" i="2"/>
  <c r="Y15" i="2"/>
  <c r="L15" i="2"/>
  <c r="R33" i="2"/>
  <c r="AI15" i="2"/>
  <c r="AC33" i="2"/>
  <c r="V15" i="2"/>
  <c r="X33" i="2"/>
  <c r="L33" i="2"/>
  <c r="AC24" i="2"/>
  <c r="Q24" i="2"/>
  <c r="AC15" i="2"/>
  <c r="Q15" i="2"/>
  <c r="AF33" i="2"/>
  <c r="M24" i="2"/>
  <c r="M15" i="2"/>
  <c r="S33" i="2"/>
  <c r="AH24" i="2"/>
  <c r="J15" i="2"/>
  <c r="AI33" i="2"/>
  <c r="W33" i="2"/>
  <c r="K33" i="2"/>
  <c r="AB24" i="2"/>
  <c r="P24" i="2"/>
  <c r="AB15" i="2"/>
  <c r="P15" i="2"/>
  <c r="Z15" i="2"/>
  <c r="AE33" i="2"/>
  <c r="X24" i="2"/>
  <c r="AI24" i="2"/>
  <c r="W15" i="2"/>
  <c r="Q33" i="2"/>
  <c r="AH33" i="2"/>
  <c r="V33" i="2"/>
  <c r="J33" i="2"/>
  <c r="AA24" i="2"/>
  <c r="O24" i="2"/>
  <c r="AA15" i="2"/>
  <c r="O15" i="2"/>
  <c r="T33" i="2"/>
  <c r="G33" i="2"/>
  <c r="X15" i="2"/>
  <c r="K15" i="2"/>
  <c r="V24" i="2"/>
  <c r="AG33" i="2"/>
  <c r="U33" i="2"/>
  <c r="I33" i="2"/>
  <c r="Z24" i="2"/>
  <c r="N24" i="2"/>
  <c r="H33" i="2"/>
  <c r="W24" i="2"/>
  <c r="AH15" i="2"/>
  <c r="L24" i="2"/>
  <c r="AD33" i="2"/>
  <c r="F28" i="1"/>
  <c r="N25" i="1"/>
  <c r="Z25" i="1"/>
  <c r="F35" i="1"/>
  <c r="R37" i="1"/>
  <c r="AD37" i="1"/>
  <c r="M38" i="1"/>
  <c r="Y38" i="1"/>
  <c r="C15" i="1"/>
  <c r="P25" i="1"/>
  <c r="AB25" i="1"/>
  <c r="H37" i="1"/>
  <c r="T37" i="1"/>
  <c r="AF37" i="1"/>
  <c r="O38" i="1"/>
  <c r="AA38" i="1"/>
  <c r="Q25" i="1"/>
  <c r="AC25" i="1"/>
  <c r="I37" i="1"/>
  <c r="U37" i="1"/>
  <c r="AG37" i="1"/>
  <c r="P38" i="1"/>
  <c r="AB38" i="1"/>
  <c r="R25" i="1"/>
  <c r="AD25" i="1"/>
  <c r="J37" i="1"/>
  <c r="V37" i="1"/>
  <c r="AH37" i="1"/>
  <c r="Q38" i="1"/>
  <c r="AC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G25" i="1"/>
  <c r="S25" i="1"/>
  <c r="AE25" i="1"/>
  <c r="K37" i="1"/>
  <c r="W37" i="1"/>
  <c r="AI37" i="1"/>
  <c r="R38" i="1"/>
  <c r="AD38" i="1"/>
  <c r="H25" i="1"/>
  <c r="T25" i="1"/>
  <c r="AF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L37" i="1"/>
  <c r="X37" i="1"/>
  <c r="S38" i="1"/>
  <c r="AE38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I25" i="1"/>
  <c r="U25" i="1"/>
  <c r="AG25" i="1"/>
  <c r="M37" i="1"/>
  <c r="Y37" i="1"/>
  <c r="H38" i="1"/>
  <c r="T38" i="1"/>
  <c r="AF38" i="1"/>
  <c r="K25" i="1"/>
  <c r="W25" i="1"/>
  <c r="AI25" i="1"/>
  <c r="O37" i="1"/>
  <c r="AA37" i="1"/>
  <c r="J38" i="1"/>
  <c r="V38" i="1"/>
  <c r="AH38" i="1"/>
  <c r="L25" i="1"/>
  <c r="X25" i="1"/>
  <c r="P37" i="1"/>
  <c r="AB37" i="1"/>
  <c r="K38" i="1"/>
  <c r="W38" i="1"/>
  <c r="G38" i="1" l="1"/>
  <c r="G37" i="1"/>
  <c r="G27" i="1"/>
  <c r="H27" i="1"/>
  <c r="I27" i="1" s="1"/>
  <c r="G28" i="1"/>
  <c r="G17" i="1"/>
  <c r="H17" i="1" s="1"/>
  <c r="G18" i="1"/>
  <c r="I17" i="1" l="1"/>
  <c r="J27" i="1"/>
  <c r="H18" i="1"/>
  <c r="I18" i="1" s="1"/>
  <c r="J18" i="1" s="1"/>
  <c r="H28" i="1"/>
  <c r="I28" i="1" s="1"/>
  <c r="J28" i="1" s="1"/>
  <c r="K28" i="1" s="1"/>
  <c r="K27" i="1" l="1"/>
  <c r="L28" i="1" s="1"/>
  <c r="J17" i="1"/>
  <c r="K17" i="1" l="1"/>
  <c r="L27" i="1"/>
  <c r="K18" i="1"/>
  <c r="L18" i="1" s="1"/>
  <c r="M27" i="1" l="1"/>
  <c r="L17" i="1"/>
  <c r="M28" i="1"/>
  <c r="N28" i="1" s="1"/>
  <c r="M17" i="1" l="1"/>
  <c r="N27" i="1"/>
  <c r="O28" i="1"/>
  <c r="M18" i="1"/>
  <c r="N18" i="1" s="1"/>
  <c r="O27" i="1" l="1"/>
  <c r="N17" i="1"/>
  <c r="O18" i="1" s="1"/>
  <c r="P27" i="1" l="1"/>
  <c r="O17" i="1"/>
  <c r="P28" i="1"/>
  <c r="Q28" i="1" s="1"/>
  <c r="P17" i="1" l="1"/>
  <c r="Q27" i="1"/>
  <c r="P18" i="1"/>
  <c r="Q18" i="1" s="1"/>
  <c r="R27" i="1" l="1"/>
  <c r="Q17" i="1"/>
  <c r="R28" i="1"/>
  <c r="S28" i="1" s="1"/>
  <c r="R17" i="1" l="1"/>
  <c r="S27" i="1"/>
  <c r="R18" i="1"/>
  <c r="S18" i="1" s="1"/>
  <c r="T27" i="1" l="1"/>
  <c r="S17" i="1"/>
  <c r="T28" i="1"/>
  <c r="U28" i="1" s="1"/>
  <c r="T17" i="1" l="1"/>
  <c r="T18" i="1"/>
  <c r="U18" i="1" s="1"/>
  <c r="U27" i="1"/>
  <c r="V27" i="1" l="1"/>
  <c r="U17" i="1"/>
  <c r="V28" i="1"/>
  <c r="W28" i="1" s="1"/>
  <c r="V17" i="1" l="1"/>
  <c r="W27" i="1"/>
  <c r="V18" i="1"/>
  <c r="W18" i="1" s="1"/>
  <c r="X27" i="1" l="1"/>
  <c r="W17" i="1"/>
  <c r="X28" i="1"/>
  <c r="Y28" i="1" s="1"/>
  <c r="X17" i="1" l="1"/>
  <c r="X18" i="1"/>
  <c r="Y18" i="1" s="1"/>
  <c r="Y27" i="1"/>
  <c r="Z27" i="1" l="1"/>
  <c r="Y17" i="1"/>
  <c r="Z28" i="1"/>
  <c r="AA28" i="1" s="1"/>
  <c r="AA27" i="1" l="1"/>
  <c r="Z17" i="1"/>
  <c r="Z18" i="1"/>
  <c r="AA18" i="1" s="1"/>
  <c r="AA17" i="1" l="1"/>
  <c r="AB27" i="1"/>
  <c r="AB28" i="1"/>
  <c r="AC28" i="1" s="1"/>
  <c r="AC27" i="1" l="1"/>
  <c r="AB17" i="1"/>
  <c r="AB18" i="1"/>
  <c r="AC18" i="1" s="1"/>
  <c r="AC17" i="1" l="1"/>
  <c r="AD27" i="1"/>
  <c r="AD28" i="1"/>
  <c r="AE28" i="1" s="1"/>
  <c r="AD17" i="1" l="1"/>
  <c r="AE27" i="1"/>
  <c r="AD18" i="1"/>
  <c r="AE18" i="1" s="1"/>
  <c r="AE17" i="1" l="1"/>
  <c r="AF27" i="1"/>
  <c r="AF28" i="1"/>
  <c r="AG28" i="1" s="1"/>
  <c r="AG27" i="1" l="1"/>
  <c r="AF17" i="1"/>
  <c r="AF18" i="1"/>
  <c r="AG18" i="1" s="1"/>
  <c r="AG17" i="1" l="1"/>
  <c r="AH27" i="1"/>
  <c r="AH28" i="1"/>
  <c r="AI28" i="1" s="1"/>
  <c r="AI27" i="1" l="1"/>
  <c r="AH17" i="1"/>
  <c r="AH18" i="1"/>
  <c r="AI18" i="1" s="1"/>
  <c r="AI17" i="1" l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AJ27" i="1"/>
  <c r="AJ28" i="1"/>
  <c r="AI15" i="1" l="1"/>
  <c r="AH15" i="1" s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7" i="1"/>
  <c r="AJ18" i="1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<sst xmlns="http://schemas.openxmlformats.org/spreadsheetml/2006/main" count="63" uniqueCount="23">
  <si>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</si>
  <si>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</si>
  <si>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</si>
  <si>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</si>
  <si>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 xml:space="preserve"> </t>
  </si>
  <si>
    <t>Cp</t>
  </si>
  <si>
    <t>ro</t>
  </si>
  <si>
    <t>lamda</t>
  </si>
  <si>
    <t>tstart</t>
  </si>
  <si>
    <t>tend</t>
  </si>
  <si>
    <t>T</t>
  </si>
  <si>
    <t>A</t>
  </si>
  <si>
    <t>B</t>
  </si>
  <si>
    <t>Ti</t>
  </si>
  <si>
    <t>C</t>
  </si>
  <si>
    <t>F</t>
  </si>
  <si>
    <t>Alpha</t>
  </si>
  <si>
    <t>Betta</t>
  </si>
  <si>
    <t>q_start</t>
  </si>
  <si>
    <t>T_iter</t>
  </si>
  <si>
    <t>q</t>
  </si>
  <si>
    <t>T_gas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</si>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</sst>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164" fontId="0" fillId="0" borderId="1" xfId="0" applyNumberFormat="1" applyBorder="1"/>
    <xf numFmtId="164" fontId="0" fillId="0" borderId="0" xfId="0" applyNumberFormat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1" fontId="0" fillId="0" borderId="0" xfId="0" applyNumberFormat="1"/>
    <xf numFmtId="166" fontId="0" fillId="0" borderId="0" xfId="0" applyNumberFormat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[1]Явный!$F$13:$AJ$13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B-451E-981D-5EF14F300C4E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[1]Неявный!$F$13:$AJ$13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51E-981D-5EF14F300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[2]Лист1!$F$13:$AJ$13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16-4F10-B443-097D278C6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[2]Лист1!$F$12:$AJ$12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416-4F10-B443-097D278C6E4F}"/>
                  </c:ext>
                </c:extLst>
              </c15:ser>
            </c15:filteredLineSeries>
          </c:ext>
        </c:extLst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500062</xdr:colOff>
      <xdr:row>43</xdr:row>
      <xdr:rowOff>80962</xdr:rowOff>
    </xdr:from>
    <xdr:to>
      <xdr:col>14</xdr:col>
      <xdr:colOff>473867</xdr:colOff>
      <xdr:row>77</xdr:row>
      <xdr:rowOff>42864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506730</xdr:colOff>
      <xdr:row>43</xdr:row>
      <xdr:rowOff>146685</xdr:rowOff>
    </xdr:from>
    <xdr:ext cx="568169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4202430" y="8010525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4202430" y="8010525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T, (c)</a:t>
              </a:r>
              <a:endParaRPr lang="ru-RU" sz="1800" i="0"/>
            </a:p>
          </xdr:txBody>
        </xdr:sp>
      </mc:Fallback>
    </mc:AlternateContent>
    <xdr:clientData/>
  </xdr:oneCellAnchor>
  <xdr:oneCellAnchor>
    <xdr:from>
      <xdr:col>13</xdr:col>
      <xdr:colOff>493395</xdr:colOff>
      <xdr:row>75</xdr:row>
      <xdr:rowOff>100965</xdr:rowOff>
    </xdr:from>
    <xdr:ext cx="645498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8456295" y="13816965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8456295" y="13816965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L, (m)</a:t>
              </a:r>
              <a:endParaRPr lang="ru-RU" sz="1800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529114</xdr:colOff>
      <xdr:row>37</xdr:row>
      <xdr:rowOff>85247</xdr:rowOff>
    </xdr:from>
    <xdr:to>
      <xdr:col>18</xdr:col>
      <xdr:colOff>220980</xdr:colOff>
      <xdr:row>57</xdr:row>
      <xdr:rowOff>129540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601980</xdr:colOff>
      <xdr:row>37</xdr:row>
      <xdr:rowOff>114300</xdr:rowOff>
    </xdr:from>
    <xdr:ext cx="505010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 i="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T, (c)</a:t>
              </a:r>
              <a:endParaRPr lang="ru-RU" sz="1600" i="0"/>
            </a:p>
          </xdr:txBody>
        </xdr:sp>
      </mc:Fallback>
    </mc:AlternateContent>
    <xdr:clientData/>
  </xdr:oneCellAnchor>
  <xdr:oneCellAnchor>
    <xdr:from>
      <xdr:col>17</xdr:col>
      <xdr:colOff>182880</xdr:colOff>
      <xdr:row>55</xdr:row>
      <xdr:rowOff>167640</xdr:rowOff>
    </xdr:from>
    <xdr:ext cx="573747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i="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L, (m)</a:t>
              </a:r>
              <a:endParaRPr lang="ru-RU" sz="1100" i="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KR_2_Ily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ый"/>
      <sheetName val="Явный"/>
    </sheetNames>
    <sheetDataSet>
      <sheetData sheetId="0">
        <row r="13">
          <cell r="F13">
            <v>300</v>
          </cell>
          <cell r="G13">
            <v>281.18191853916846</v>
          </cell>
          <cell r="H13">
            <v>262.5422523076553</v>
          </cell>
          <cell r="I13">
            <v>244.25393952101794</v>
          </cell>
          <cell r="J13">
            <v>226.47947480392662</v>
          </cell>
          <cell r="K13">
            <v>209.36682610946494</v>
          </cell>
          <cell r="L13">
            <v>193.04643725636214</v>
          </cell>
          <cell r="M13">
            <v>177.62936415475207</v>
          </cell>
          <cell r="N13">
            <v>163.2064755025059</v>
          </cell>
          <cell r="O13">
            <v>149.84857162761665</v>
          </cell>
          <cell r="P13">
            <v>137.60723368431263</v>
          </cell>
          <cell r="Q13">
            <v>126.51620198058114</v>
          </cell>
          <cell r="R13">
            <v>116.59308882972489</v>
          </cell>
          <cell r="S13">
            <v>107.84125089999044</v>
          </cell>
          <cell r="T13">
            <v>100.25167293163912</v>
          </cell>
          <cell r="U13">
            <v>93.804744745013807</v>
          </cell>
          <cell r="V13">
            <v>88.471843867395691</v>
          </cell>
          <cell r="W13">
            <v>84.216665151745758</v>
          </cell>
          <cell r="X13">
            <v>80.996265566606141</v>
          </cell>
          <cell r="Y13">
            <v>78.761816592041356</v>
          </cell>
          <cell r="Z13">
            <v>77.459078383852159</v>
          </cell>
          <cell r="AA13">
            <v>77.02862921624164</v>
          </cell>
          <cell r="AB13">
            <v>77.405900774524639</v>
          </cell>
          <cell r="AC13">
            <v>78.521084519754638</v>
          </cell>
          <cell r="AD13">
            <v>80.298986103025712</v>
          </cell>
          <cell r="AE13">
            <v>82.658912712240308</v>
          </cell>
          <cell r="AF13">
            <v>85.514680789677115</v>
          </cell>
          <cell r="AG13">
            <v>88.774826738945777</v>
          </cell>
          <cell r="AH13">
            <v>92.343088660120486</v>
          </cell>
          <cell r="AI13">
            <v>96.119200505506953</v>
          </cell>
          <cell r="AJ13">
            <v>100</v>
          </cell>
        </row>
      </sheetData>
      <sheetData sheetId="1">
        <row r="13">
          <cell r="F13">
            <v>300</v>
          </cell>
          <cell r="G13">
            <v>293.25780786115405</v>
          </cell>
          <cell r="H13">
            <v>286.5156157223081</v>
          </cell>
          <cell r="I13">
            <v>279.7767244091051</v>
          </cell>
          <cell r="J13">
            <v>273.0378330959021</v>
          </cell>
          <cell r="K13">
            <v>266.30539917204851</v>
          </cell>
          <cell r="L13">
            <v>259.57296524819492</v>
          </cell>
          <cell r="M13">
            <v>252.84986305846581</v>
          </cell>
          <cell r="N13">
            <v>246.12676086873671</v>
          </cell>
          <cell r="O13">
            <v>239.41545691630802</v>
          </cell>
          <cell r="P13">
            <v>232.70415296387932</v>
          </cell>
          <cell r="Q13">
            <v>226.00659811230153</v>
          </cell>
          <cell r="R13">
            <v>219.30904326072374</v>
          </cell>
          <cell r="S13">
            <v>212.62658747182891</v>
          </cell>
          <cell r="T13">
            <v>205.94413168293408</v>
          </cell>
          <cell r="U13">
            <v>199.27746501703731</v>
          </cell>
          <cell r="V13">
            <v>192.61079835114055</v>
          </cell>
          <cell r="W13">
            <v>185.95992080810871</v>
          </cell>
          <cell r="X13">
            <v>179.30904326507687</v>
          </cell>
          <cell r="Y13">
            <v>172.6732647843516</v>
          </cell>
          <cell r="Z13">
            <v>166.03748630362634</v>
          </cell>
          <cell r="AA13">
            <v>159.4154569231975</v>
          </cell>
          <cell r="AB13">
            <v>152.79342754276868</v>
          </cell>
          <cell r="AC13">
            <v>146.18319639900352</v>
          </cell>
          <cell r="AD13">
            <v>139.57296525523833</v>
          </cell>
          <cell r="AE13">
            <v>132.97206584498872</v>
          </cell>
          <cell r="AF13">
            <v>126.37116643473912</v>
          </cell>
          <cell r="AG13">
            <v>119.77672441336307</v>
          </cell>
          <cell r="AH13">
            <v>113.18228239198703</v>
          </cell>
          <cell r="AI13">
            <v>106.59114119599352</v>
          </cell>
          <cell r="AJ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topLeftCell="A55" workbookViewId="0">
      <selection activeCell="J5" sqref="J5"/>
    </sheetView>
  </sheetViews>
  <sheetFormatPr defaultRowHeight="14.4" x14ac:dyDescent="0.3"/>
  <cols>
    <col min="3" max="3" width="9.44140625" bestFit="1" customWidth="1"/>
  </cols>
  <sheetData>
    <row r="3" spans="2:36" x14ac:dyDescent="0.3">
      <c r="B3" s="1" t="s">
        <v>0</v>
      </c>
      <c r="C3" s="2">
        <v>0.1</v>
      </c>
    </row>
    <row r="4" spans="2:36" x14ac:dyDescent="0.3">
      <c r="B4" s="1" t="s">
        <v>1</v>
      </c>
      <c r="C4" s="2">
        <f>C3/30</f>
        <v>3.3333333333333335E-3</v>
      </c>
    </row>
    <row r="5" spans="2:36" x14ac:dyDescent="0.3">
      <c r="B5" s="1" t="s">
        <v>2</v>
      </c>
      <c r="C5" s="2">
        <v>15</v>
      </c>
    </row>
    <row r="6" spans="2:36" x14ac:dyDescent="0.3">
      <c r="B6" s="1" t="s">
        <v>3</v>
      </c>
      <c r="C6" s="2">
        <v>1200</v>
      </c>
      <c r="D6" s="1">
        <v>1215</v>
      </c>
    </row>
    <row r="7" spans="2:36" x14ac:dyDescent="0.3">
      <c r="C7" s="3"/>
      <c r="M7" t="s">
        <v>4</v>
      </c>
    </row>
    <row r="8" spans="2:36" x14ac:dyDescent="0.3">
      <c r="B8" s="1" t="s">
        <v>5</v>
      </c>
      <c r="C8" s="4">
        <v>460</v>
      </c>
    </row>
    <row r="9" spans="2:36" x14ac:dyDescent="0.3">
      <c r="B9" s="1" t="s">
        <v>6</v>
      </c>
      <c r="C9" s="4">
        <v>7800</v>
      </c>
    </row>
    <row r="10" spans="2:36" x14ac:dyDescent="0.3">
      <c r="B10" s="1" t="s">
        <v>7</v>
      </c>
      <c r="C10" s="4">
        <v>46</v>
      </c>
    </row>
    <row r="11" spans="2:36" x14ac:dyDescent="0.3"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8</v>
      </c>
      <c r="C12" s="2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1" t="s">
        <v>9</v>
      </c>
      <c r="C13" s="2">
        <v>100</v>
      </c>
      <c r="E13" t="s">
        <v>10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3">
      <c r="B14" s="6" t="s">
        <v>11</v>
      </c>
      <c r="C14" s="1">
        <f>$C$10/($C$4^2)</f>
        <v>4139999.9999999991</v>
      </c>
    </row>
    <row r="15" spans="2:36" x14ac:dyDescent="0.3">
      <c r="B15" s="6" t="s">
        <v>12</v>
      </c>
      <c r="C15" s="1">
        <f>(2*$C$10)/($C$4^2)+($C$9*$C$8)/$C$5</f>
        <v>8519199.9999999981</v>
      </c>
      <c r="E15" t="s">
        <v>13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3">
      <c r="B16" s="6" t="s">
        <v>14</v>
      </c>
      <c r="C16" s="1">
        <f>$C$10/($C$4^2)</f>
        <v>4139999.9999999991</v>
      </c>
      <c r="E16" t="s">
        <v>15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3">
      <c r="B17" s="7"/>
      <c r="E17" t="s">
        <v>16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3">
      <c r="E18" t="s">
        <v>17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3">
      <c r="F20" s="1">
        <v>1</v>
      </c>
      <c r="G20" s="1">
        <v>2</v>
      </c>
      <c r="H20" s="1">
        <v>3</v>
      </c>
      <c r="I20" s="1">
        <v>4</v>
      </c>
      <c r="J20" s="1">
        <v>5</v>
      </c>
      <c r="K20" s="1">
        <v>6</v>
      </c>
      <c r="L20" s="1">
        <v>7</v>
      </c>
      <c r="M20" s="1">
        <v>8</v>
      </c>
      <c r="N20" s="1">
        <v>9</v>
      </c>
      <c r="O20" s="1">
        <v>10</v>
      </c>
      <c r="P20" s="1">
        <v>11</v>
      </c>
      <c r="Q20" s="1">
        <v>12</v>
      </c>
      <c r="R20" s="1">
        <v>13</v>
      </c>
      <c r="S20" s="1">
        <v>14</v>
      </c>
      <c r="T20" s="1">
        <v>15</v>
      </c>
      <c r="U20" s="1">
        <v>16</v>
      </c>
      <c r="V20" s="1">
        <v>17</v>
      </c>
      <c r="W20" s="1">
        <v>18</v>
      </c>
      <c r="X20" s="1">
        <v>19</v>
      </c>
      <c r="Y20" s="1">
        <v>20</v>
      </c>
      <c r="Z20" s="1">
        <v>21</v>
      </c>
      <c r="AA20" s="1">
        <v>22</v>
      </c>
      <c r="AB20" s="1">
        <v>23</v>
      </c>
      <c r="AC20" s="1">
        <v>24</v>
      </c>
      <c r="AD20" s="1">
        <v>25</v>
      </c>
      <c r="AE20" s="1">
        <v>26</v>
      </c>
      <c r="AF20" s="1">
        <v>27</v>
      </c>
      <c r="AG20" s="1">
        <v>28</v>
      </c>
      <c r="AH20" s="1">
        <v>29</v>
      </c>
      <c r="AI20" s="1">
        <v>30</v>
      </c>
      <c r="AJ20" s="1">
        <v>31</v>
      </c>
    </row>
    <row r="21" spans="2:36" x14ac:dyDescent="0.3">
      <c r="B21" s="1" t="s">
        <v>18</v>
      </c>
      <c r="C21" s="2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:AJ21" si="6">G21+$C$4</f>
        <v>6.6666666666666671E-3</v>
      </c>
      <c r="I21" s="5">
        <f t="shared" si="6"/>
        <v>0.01</v>
      </c>
      <c r="J21" s="5">
        <f t="shared" si="6"/>
        <v>1.3333333333333334E-2</v>
      </c>
      <c r="K21" s="5">
        <f t="shared" si="6"/>
        <v>1.6666666666666666E-2</v>
      </c>
      <c r="L21" s="5">
        <f t="shared" si="6"/>
        <v>0.02</v>
      </c>
      <c r="M21" s="5">
        <f t="shared" si="6"/>
        <v>2.3333333333333334E-2</v>
      </c>
      <c r="N21" s="5">
        <f t="shared" si="6"/>
        <v>2.6666666666666668E-2</v>
      </c>
      <c r="O21" s="5">
        <f t="shared" si="6"/>
        <v>3.0000000000000002E-2</v>
      </c>
      <c r="P21" s="5">
        <f t="shared" si="6"/>
        <v>3.3333333333333333E-2</v>
      </c>
      <c r="Q21" s="5">
        <f t="shared" si="6"/>
        <v>3.6666666666666667E-2</v>
      </c>
      <c r="R21" s="5">
        <f t="shared" si="6"/>
        <v>0.04</v>
      </c>
      <c r="S21" s="5">
        <f t="shared" si="6"/>
        <v>4.3333333333333335E-2</v>
      </c>
      <c r="T21" s="5">
        <f t="shared" si="6"/>
        <v>4.6666666666666669E-2</v>
      </c>
      <c r="U21" s="5">
        <f t="shared" si="6"/>
        <v>0.05</v>
      </c>
      <c r="V21" s="5">
        <f t="shared" si="6"/>
        <v>5.3333333333333337E-2</v>
      </c>
      <c r="W21" s="5">
        <f t="shared" si="6"/>
        <v>5.6666666666666671E-2</v>
      </c>
      <c r="X21" s="5">
        <f t="shared" si="6"/>
        <v>6.0000000000000005E-2</v>
      </c>
      <c r="Y21" s="5">
        <f t="shared" si="6"/>
        <v>6.3333333333333339E-2</v>
      </c>
      <c r="Z21" s="5">
        <f t="shared" si="6"/>
        <v>6.6666666666666666E-2</v>
      </c>
      <c r="AA21" s="5">
        <f t="shared" si="6"/>
        <v>6.9999999999999993E-2</v>
      </c>
      <c r="AB21" s="5">
        <f t="shared" si="6"/>
        <v>7.333333333333332E-2</v>
      </c>
      <c r="AC21" s="5">
        <f t="shared" si="6"/>
        <v>7.6666666666666647E-2</v>
      </c>
      <c r="AD21" s="5">
        <f t="shared" si="6"/>
        <v>7.9999999999999974E-2</v>
      </c>
      <c r="AE21" s="5">
        <f t="shared" si="6"/>
        <v>8.3333333333333301E-2</v>
      </c>
      <c r="AF21" s="5">
        <f t="shared" si="6"/>
        <v>8.6666666666666628E-2</v>
      </c>
      <c r="AG21" s="5">
        <f t="shared" si="6"/>
        <v>8.9999999999999955E-2</v>
      </c>
      <c r="AH21" s="5">
        <f t="shared" si="6"/>
        <v>9.3333333333333282E-2</v>
      </c>
      <c r="AI21" s="5">
        <f t="shared" si="6"/>
        <v>9.6666666666666609E-2</v>
      </c>
      <c r="AJ21" s="5">
        <f t="shared" si="6"/>
        <v>9.9999999999999936E-2</v>
      </c>
    </row>
    <row r="22" spans="2:36" x14ac:dyDescent="0.3">
      <c r="B22" s="1" t="s">
        <v>9</v>
      </c>
      <c r="C22" s="2">
        <v>100</v>
      </c>
      <c r="E22" t="s">
        <v>10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3">
      <c r="E24" t="s">
        <v>19</v>
      </c>
      <c r="G24">
        <f>G27*H24+G28</f>
        <v>238.71049194653068</v>
      </c>
      <c r="H24">
        <f t="shared" ref="H24:AI24" si="7">H27*I24+H28</f>
        <v>233.26604165924005</v>
      </c>
      <c r="I24">
        <f t="shared" si="7"/>
        <v>227.88685730471974</v>
      </c>
      <c r="J24">
        <f t="shared" si="7"/>
        <v>222.57136532990813</v>
      </c>
      <c r="K24">
        <f t="shared" si="7"/>
        <v>217.31791433729478</v>
      </c>
      <c r="L24">
        <f t="shared" si="7"/>
        <v>212.12477710324387</v>
      </c>
      <c r="M24">
        <f t="shared" si="7"/>
        <v>206.99015268899137</v>
      </c>
      <c r="N24">
        <f t="shared" si="7"/>
        <v>201.91216864173703</v>
      </c>
      <c r="O24">
        <f t="shared" si="7"/>
        <v>196.88888328313979</v>
      </c>
      <c r="P24">
        <f t="shared" si="7"/>
        <v>191.91828808242107</v>
      </c>
      <c r="Q24">
        <f t="shared" si="7"/>
        <v>186.9983101111747</v>
      </c>
      <c r="R24">
        <f t="shared" si="7"/>
        <v>182.12681457688365</v>
      </c>
      <c r="S24">
        <f t="shared" si="7"/>
        <v>177.30160743204709</v>
      </c>
      <c r="T24">
        <f t="shared" si="7"/>
        <v>172.52043805572919</v>
      </c>
      <c r="U24">
        <f t="shared" si="7"/>
        <v>167.78100200425195</v>
      </c>
      <c r="V24">
        <f t="shared" si="7"/>
        <v>163.0809438276705</v>
      </c>
      <c r="W24">
        <f t="shared" si="7"/>
        <v>158.41785994858867</v>
      </c>
      <c r="X24">
        <f t="shared" si="7"/>
        <v>153.78930159979606</v>
      </c>
      <c r="Y24">
        <f t="shared" si="7"/>
        <v>149.19277781713677</v>
      </c>
      <c r="Z24">
        <f t="shared" si="7"/>
        <v>144.62575848395136</v>
      </c>
      <c r="AA24">
        <f t="shared" si="7"/>
        <v>140.08567742337166</v>
      </c>
      <c r="AB24">
        <f t="shared" si="7"/>
        <v>135.56993553468863</v>
      </c>
      <c r="AC24">
        <f t="shared" si="7"/>
        <v>131.07590396996019</v>
      </c>
      <c r="AD24">
        <f t="shared" si="7"/>
        <v>126.60092734697665</v>
      </c>
      <c r="AE24">
        <f t="shared" si="7"/>
        <v>122.1423269946565</v>
      </c>
      <c r="AF24">
        <f t="shared" si="7"/>
        <v>117.6974042269064</v>
      </c>
      <c r="AG24">
        <f t="shared" si="7"/>
        <v>113.26344364094373</v>
      </c>
      <c r="AH24">
        <f t="shared" si="7"/>
        <v>108.8377164360507</v>
      </c>
      <c r="AI24">
        <f t="shared" si="7"/>
        <v>104.41748374870339</v>
      </c>
      <c r="AJ24">
        <v>100</v>
      </c>
    </row>
    <row r="25" spans="2:36" x14ac:dyDescent="0.3">
      <c r="E25" t="s">
        <v>20</v>
      </c>
      <c r="F25">
        <v>92000</v>
      </c>
      <c r="G25" s="8">
        <f>-$C$10*(G22-F22)/$C$4</f>
        <v>91999.999999999869</v>
      </c>
      <c r="H25" s="8">
        <f t="shared" ref="H25:AI25" si="8">-$C$10*(H22-G22)/$C$4</f>
        <v>74776.629059789993</v>
      </c>
      <c r="I25" s="8">
        <f t="shared" si="8"/>
        <v>73856.906995711513</v>
      </c>
      <c r="J25" s="8">
        <f t="shared" si="8"/>
        <v>72959.359308572501</v>
      </c>
      <c r="K25" s="8">
        <f t="shared" si="8"/>
        <v>72085.082975806654</v>
      </c>
      <c r="L25" s="8">
        <f t="shared" si="8"/>
        <v>71235.146532824467</v>
      </c>
      <c r="M25" s="8">
        <f t="shared" si="8"/>
        <v>70410.588767057678</v>
      </c>
      <c r="N25" s="8">
        <f t="shared" si="8"/>
        <v>69612.417448355031</v>
      </c>
      <c r="O25" s="8">
        <f t="shared" si="8"/>
        <v>68841.608097295175</v>
      </c>
      <c r="P25" s="8">
        <f t="shared" si="8"/>
        <v>68099.102792904479</v>
      </c>
      <c r="Q25" s="8">
        <f t="shared" si="8"/>
        <v>67385.809021247158</v>
      </c>
      <c r="R25" s="8">
        <f t="shared" si="8"/>
        <v>66702.598566299886</v>
      </c>
      <c r="S25" s="8">
        <f t="shared" si="8"/>
        <v>66050.306444449801</v>
      </c>
      <c r="T25" s="8">
        <f t="shared" si="8"/>
        <v>65429.729883937005</v>
      </c>
      <c r="U25" s="8">
        <f t="shared" si="8"/>
        <v>64841.627350479648</v>
      </c>
      <c r="V25" s="8">
        <f t="shared" si="8"/>
        <v>64286.717620268319</v>
      </c>
      <c r="W25" s="8">
        <f t="shared" si="8"/>
        <v>63765.67890147151</v>
      </c>
      <c r="X25" s="8">
        <f t="shared" si="8"/>
        <v>63279.148005326526</v>
      </c>
      <c r="Y25" s="8">
        <f t="shared" si="8"/>
        <v>62827.719567817381</v>
      </c>
      <c r="Z25" s="8">
        <f t="shared" si="8"/>
        <v>62411.945322904059</v>
      </c>
      <c r="AA25" s="8">
        <f t="shared" si="8"/>
        <v>62032.333428184851</v>
      </c>
      <c r="AB25" s="8">
        <f t="shared" si="8"/>
        <v>61689.347843819785</v>
      </c>
      <c r="AC25" s="8">
        <f t="shared" si="8"/>
        <v>61383.407765467375</v>
      </c>
      <c r="AD25" s="8">
        <f t="shared" si="8"/>
        <v>61114.887111938398</v>
      </c>
      <c r="AE25" s="8">
        <f t="shared" si="8"/>
        <v>60884.114068185299</v>
      </c>
      <c r="AF25" s="8">
        <f t="shared" si="8"/>
        <v>60691.370684185349</v>
      </c>
      <c r="AG25" s="8">
        <f t="shared" si="8"/>
        <v>60536.892530216071</v>
      </c>
      <c r="AH25" s="8">
        <f t="shared" si="8"/>
        <v>60420.868408933908</v>
      </c>
      <c r="AI25" s="8">
        <f t="shared" si="8"/>
        <v>60343.44012461634</v>
      </c>
    </row>
    <row r="26" spans="2:36" x14ac:dyDescent="0.3">
      <c r="E26" t="s">
        <v>15</v>
      </c>
      <c r="F26">
        <f>-($C$9*$C$8)/$C$5*F22</f>
        <v>-58417831.106923804</v>
      </c>
      <c r="G26">
        <f t="shared" ref="G26:AJ26" si="9">-($C$9*$C$8)/$C$5*G22</f>
        <v>-56823164.44025714</v>
      </c>
      <c r="H26">
        <f t="shared" si="9"/>
        <v>-55527036.203220777</v>
      </c>
      <c r="I26">
        <f t="shared" si="9"/>
        <v>-54246849.815295115</v>
      </c>
      <c r="J26">
        <f t="shared" si="9"/>
        <v>-52982220.920613185</v>
      </c>
      <c r="K26">
        <f t="shared" si="9"/>
        <v>-51732746.149032541</v>
      </c>
      <c r="L26">
        <f t="shared" si="9"/>
        <v>-50498003.609130248</v>
      </c>
      <c r="M26">
        <f t="shared" si="9"/>
        <v>-49277553.403834581</v>
      </c>
      <c r="N26">
        <f t="shared" si="9"/>
        <v>-48070938.168063097</v>
      </c>
      <c r="O26">
        <f t="shared" si="9"/>
        <v>-46877683.627709977</v>
      </c>
      <c r="P26">
        <f t="shared" si="9"/>
        <v>-45697299.179299638</v>
      </c>
      <c r="Q26">
        <f t="shared" si="9"/>
        <v>-44529278.489598013</v>
      </c>
      <c r="R26">
        <f t="shared" si="9"/>
        <v>-43373100.114448816</v>
      </c>
      <c r="S26">
        <f t="shared" si="9"/>
        <v>-42228228.136078358</v>
      </c>
      <c r="T26">
        <f t="shared" si="9"/>
        <v>-41094112.818090111</v>
      </c>
      <c r="U26">
        <f t="shared" si="9"/>
        <v>-39970191.277348466</v>
      </c>
      <c r="V26">
        <f t="shared" si="9"/>
        <v>-38855888.171930484</v>
      </c>
      <c r="W26">
        <f t="shared" si="9"/>
        <v>-37750616.404304974</v>
      </c>
      <c r="X26">
        <f t="shared" si="9"/>
        <v>-36653777.838879317</v>
      </c>
      <c r="Y26">
        <f t="shared" si="9"/>
        <v>-35564764.033037148</v>
      </c>
      <c r="Z26">
        <f t="shared" si="9"/>
        <v>-34482956.980773479</v>
      </c>
      <c r="AA26">
        <f t="shared" si="9"/>
        <v>-33407729.868018273</v>
      </c>
      <c r="AB26">
        <f t="shared" si="9"/>
        <v>-32338447.838725396</v>
      </c>
      <c r="AC26">
        <f t="shared" si="9"/>
        <v>-31274468.770790629</v>
      </c>
      <c r="AD26">
        <f t="shared" si="9"/>
        <v>-30215144.060850363</v>
      </c>
      <c r="AE26">
        <f t="shared" si="9"/>
        <v>-29159819.417001817</v>
      </c>
      <c r="AF26">
        <f t="shared" si="9"/>
        <v>-28107835.658475939</v>
      </c>
      <c r="AG26">
        <f t="shared" si="9"/>
        <v>-27058529.521285526</v>
      </c>
      <c r="AH26">
        <f t="shared" si="9"/>
        <v>-26011234.468864005</v>
      </c>
      <c r="AI26">
        <f t="shared" si="9"/>
        <v>-24965281.506703988</v>
      </c>
      <c r="AJ26">
        <f t="shared" si="9"/>
        <v>-23920000</v>
      </c>
    </row>
    <row r="27" spans="2:36" x14ac:dyDescent="0.3">
      <c r="E27" t="s">
        <v>16</v>
      </c>
      <c r="F27">
        <v>0</v>
      </c>
      <c r="G27">
        <f>$C$14/($C$15-$C$16*F27)</f>
        <v>0.48596112311015116</v>
      </c>
      <c r="H27">
        <f t="shared" ref="H27:AJ27" si="10">$C$14/($C$15-$C$16*G27)</f>
        <v>0.63620651749071722</v>
      </c>
      <c r="I27">
        <f t="shared" si="10"/>
        <v>0.70344697303325343</v>
      </c>
      <c r="J27">
        <f t="shared" si="10"/>
        <v>0.73837204063938877</v>
      </c>
      <c r="K27">
        <f t="shared" si="10"/>
        <v>0.75791697114252621</v>
      </c>
      <c r="L27">
        <f t="shared" si="10"/>
        <v>0.76931314098818415</v>
      </c>
      <c r="M27">
        <f t="shared" si="10"/>
        <v>0.77611753667656147</v>
      </c>
      <c r="N27">
        <f t="shared" si="10"/>
        <v>0.78023798190134164</v>
      </c>
      <c r="O27">
        <f t="shared" si="10"/>
        <v>0.78275448109541323</v>
      </c>
      <c r="P27">
        <f t="shared" si="10"/>
        <v>0.78429939484401534</v>
      </c>
      <c r="Q27">
        <f t="shared" si="10"/>
        <v>0.78525086361989171</v>
      </c>
      <c r="R27">
        <f t="shared" si="10"/>
        <v>0.78583799593878545</v>
      </c>
      <c r="S27">
        <f t="shared" si="10"/>
        <v>0.78620074179469635</v>
      </c>
      <c r="T27">
        <f t="shared" si="10"/>
        <v>0.78642502318145446</v>
      </c>
      <c r="U27">
        <f t="shared" si="10"/>
        <v>0.78656375768621156</v>
      </c>
      <c r="V27">
        <f t="shared" si="10"/>
        <v>0.78664959967006132</v>
      </c>
      <c r="W27">
        <f t="shared" si="10"/>
        <v>0.78670272378719874</v>
      </c>
      <c r="X27">
        <f t="shared" si="10"/>
        <v>0.78673560373989671</v>
      </c>
      <c r="Y27">
        <f t="shared" si="10"/>
        <v>0.78675595540875964</v>
      </c>
      <c r="Z27">
        <f t="shared" si="10"/>
        <v>0.78676855298686454</v>
      </c>
      <c r="AA27">
        <f t="shared" si="10"/>
        <v>0.78677635102491461</v>
      </c>
      <c r="AB27">
        <f t="shared" si="10"/>
        <v>0.7867811781728572</v>
      </c>
      <c r="AC27">
        <f t="shared" si="10"/>
        <v>0.78678416630763781</v>
      </c>
      <c r="AD27">
        <f t="shared" si="10"/>
        <v>0.78678601605504095</v>
      </c>
      <c r="AE27">
        <f t="shared" si="10"/>
        <v>0.78678716110997671</v>
      </c>
      <c r="AF27">
        <f t="shared" si="10"/>
        <v>0.78678786993859462</v>
      </c>
      <c r="AG27">
        <f t="shared" si="10"/>
        <v>0.78678830872867067</v>
      </c>
      <c r="AH27">
        <f t="shared" si="10"/>
        <v>0.78678858035554899</v>
      </c>
      <c r="AI27">
        <f t="shared" si="10"/>
        <v>0.78678874850247471</v>
      </c>
      <c r="AJ27">
        <f t="shared" si="10"/>
        <v>0.78678885259157849</v>
      </c>
    </row>
    <row r="28" spans="2:36" x14ac:dyDescent="0.3">
      <c r="E28" t="s">
        <v>17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:AJ28" si="11">(H28*$C$16-I26)/($C$15-$C$16*H27)</f>
        <v>71.319704079517464</v>
      </c>
      <c r="J28">
        <f t="shared" si="11"/>
        <v>62.109893453183908</v>
      </c>
      <c r="K28">
        <f t="shared" si="11"/>
        <v>56.544945770920705</v>
      </c>
      <c r="L28">
        <f t="shared" si="11"/>
        <v>52.884532584452067</v>
      </c>
      <c r="M28">
        <f t="shared" si="11"/>
        <v>50.282577737743971</v>
      </c>
      <c r="N28">
        <f t="shared" si="11"/>
        <v>48.291983690091236</v>
      </c>
      <c r="O28">
        <f t="shared" si="11"/>
        <v>46.663983282464244</v>
      </c>
      <c r="P28">
        <f t="shared" si="11"/>
        <v>45.255626625373225</v>
      </c>
      <c r="Q28">
        <f t="shared" si="11"/>
        <v>43.983071676336955</v>
      </c>
      <c r="R28">
        <f t="shared" si="11"/>
        <v>42.796474715758492</v>
      </c>
      <c r="S28">
        <f t="shared" si="11"/>
        <v>41.665911057886831</v>
      </c>
      <c r="T28">
        <f t="shared" si="11"/>
        <v>40.573259665127686</v>
      </c>
      <c r="U28">
        <f t="shared" si="11"/>
        <v>39.507442020145447</v>
      </c>
      <c r="V28">
        <f t="shared" si="11"/>
        <v>38.461597718525383</v>
      </c>
      <c r="W28">
        <f t="shared" si="11"/>
        <v>37.431397490698103</v>
      </c>
      <c r="X28">
        <f t="shared" si="11"/>
        <v>36.414031470198701</v>
      </c>
      <c r="Y28">
        <f t="shared" si="11"/>
        <v>35.40760102437909</v>
      </c>
      <c r="Z28">
        <f t="shared" si="11"/>
        <v>34.410752763380543</v>
      </c>
      <c r="AA28">
        <f t="shared" si="11"/>
        <v>33.42245823470644</v>
      </c>
      <c r="AB28">
        <f t="shared" si="11"/>
        <v>32.441881379131061</v>
      </c>
      <c r="AC28">
        <f t="shared" si="11"/>
        <v>31.468298893495348</v>
      </c>
      <c r="AD28">
        <f t="shared" si="11"/>
        <v>30.501052499158781</v>
      </c>
      <c r="AE28">
        <f t="shared" si="11"/>
        <v>29.539520452955447</v>
      </c>
      <c r="AF28">
        <f t="shared" si="11"/>
        <v>28.583100662738218</v>
      </c>
      <c r="AG28">
        <f t="shared" si="11"/>
        <v>27.631200800332763</v>
      </c>
      <c r="AH28">
        <f t="shared" si="11"/>
        <v>26.683232633109746</v>
      </c>
      <c r="AI28">
        <f t="shared" si="11"/>
        <v>25.738608898455922</v>
      </c>
      <c r="AJ28">
        <f t="shared" si="11"/>
        <v>24.796741710826428</v>
      </c>
    </row>
    <row r="33" spans="2:36" x14ac:dyDescent="0.3">
      <c r="F33" s="1">
        <v>1</v>
      </c>
      <c r="G33" s="1">
        <v>2</v>
      </c>
      <c r="H33" s="1">
        <v>3</v>
      </c>
      <c r="I33" s="1">
        <v>4</v>
      </c>
      <c r="J33" s="1">
        <v>5</v>
      </c>
      <c r="K33" s="1">
        <v>6</v>
      </c>
      <c r="L33" s="1">
        <v>7</v>
      </c>
      <c r="M33" s="1">
        <v>8</v>
      </c>
      <c r="N33" s="1">
        <v>9</v>
      </c>
      <c r="O33" s="1">
        <v>10</v>
      </c>
      <c r="P33" s="1">
        <v>11</v>
      </c>
      <c r="Q33" s="1">
        <v>12</v>
      </c>
      <c r="R33" s="1">
        <v>13</v>
      </c>
      <c r="S33" s="1">
        <v>14</v>
      </c>
      <c r="T33" s="1">
        <v>15</v>
      </c>
      <c r="U33" s="1">
        <v>16</v>
      </c>
      <c r="V33" s="1">
        <v>17</v>
      </c>
      <c r="W33" s="1">
        <v>18</v>
      </c>
      <c r="X33" s="1">
        <v>19</v>
      </c>
      <c r="Y33" s="1">
        <v>20</v>
      </c>
      <c r="Z33" s="1">
        <v>21</v>
      </c>
      <c r="AA33" s="1">
        <v>22</v>
      </c>
      <c r="AB33" s="1">
        <v>23</v>
      </c>
      <c r="AC33" s="1">
        <v>24</v>
      </c>
      <c r="AD33" s="1">
        <v>25</v>
      </c>
      <c r="AE33" s="1">
        <v>26</v>
      </c>
      <c r="AF33" s="1">
        <v>27</v>
      </c>
      <c r="AG33" s="1">
        <v>28</v>
      </c>
      <c r="AH33" s="1">
        <v>29</v>
      </c>
      <c r="AI33" s="1">
        <v>30</v>
      </c>
      <c r="AJ33" s="1">
        <v>31</v>
      </c>
    </row>
    <row r="34" spans="2:36" x14ac:dyDescent="0.3">
      <c r="B34" s="1" t="s">
        <v>18</v>
      </c>
      <c r="C34" s="2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:AJ34" si="12">G34+$C$4</f>
        <v>6.6666666666666671E-3</v>
      </c>
      <c r="I34" s="5">
        <f t="shared" si="12"/>
        <v>0.01</v>
      </c>
      <c r="J34" s="5">
        <f t="shared" si="12"/>
        <v>1.3333333333333334E-2</v>
      </c>
      <c r="K34" s="5">
        <f t="shared" si="12"/>
        <v>1.6666666666666666E-2</v>
      </c>
      <c r="L34" s="5">
        <f t="shared" si="12"/>
        <v>0.02</v>
      </c>
      <c r="M34" s="5">
        <f t="shared" si="12"/>
        <v>2.3333333333333334E-2</v>
      </c>
      <c r="N34" s="5">
        <f t="shared" si="12"/>
        <v>2.6666666666666668E-2</v>
      </c>
      <c r="O34" s="5">
        <f t="shared" si="12"/>
        <v>3.0000000000000002E-2</v>
      </c>
      <c r="P34" s="5">
        <f t="shared" si="12"/>
        <v>3.3333333333333333E-2</v>
      </c>
      <c r="Q34" s="5">
        <f t="shared" si="12"/>
        <v>3.6666666666666667E-2</v>
      </c>
      <c r="R34" s="5">
        <f t="shared" si="12"/>
        <v>0.04</v>
      </c>
      <c r="S34" s="5">
        <f t="shared" si="12"/>
        <v>4.3333333333333335E-2</v>
      </c>
      <c r="T34" s="5">
        <f t="shared" si="12"/>
        <v>4.6666666666666669E-2</v>
      </c>
      <c r="U34" s="5">
        <f t="shared" si="12"/>
        <v>0.05</v>
      </c>
      <c r="V34" s="5">
        <f t="shared" si="12"/>
        <v>5.3333333333333337E-2</v>
      </c>
      <c r="W34" s="5">
        <f t="shared" si="12"/>
        <v>5.6666666666666671E-2</v>
      </c>
      <c r="X34" s="5">
        <f t="shared" si="12"/>
        <v>6.0000000000000005E-2</v>
      </c>
      <c r="Y34" s="5">
        <f t="shared" si="12"/>
        <v>6.3333333333333339E-2</v>
      </c>
      <c r="Z34" s="5">
        <f t="shared" si="12"/>
        <v>6.6666666666666666E-2</v>
      </c>
      <c r="AA34" s="5">
        <f t="shared" si="12"/>
        <v>6.9999999999999993E-2</v>
      </c>
      <c r="AB34" s="5">
        <f t="shared" si="12"/>
        <v>7.333333333333332E-2</v>
      </c>
      <c r="AC34" s="5">
        <f t="shared" si="12"/>
        <v>7.6666666666666647E-2</v>
      </c>
      <c r="AD34" s="5">
        <f t="shared" si="12"/>
        <v>7.9999999999999974E-2</v>
      </c>
      <c r="AE34" s="5">
        <f t="shared" si="12"/>
        <v>8.3333333333333301E-2</v>
      </c>
      <c r="AF34" s="5">
        <f t="shared" si="12"/>
        <v>8.6666666666666628E-2</v>
      </c>
      <c r="AG34" s="5">
        <f t="shared" si="12"/>
        <v>8.9999999999999955E-2</v>
      </c>
      <c r="AH34" s="5">
        <f t="shared" si="12"/>
        <v>9.3333333333333282E-2</v>
      </c>
      <c r="AI34" s="5">
        <f t="shared" si="12"/>
        <v>9.6666666666666609E-2</v>
      </c>
      <c r="AJ34" s="5">
        <f t="shared" si="12"/>
        <v>9.9999999999999936E-2</v>
      </c>
    </row>
    <row r="35" spans="2:36" x14ac:dyDescent="0.3">
      <c r="B35" s="1" t="s">
        <v>9</v>
      </c>
      <c r="C35" s="2">
        <v>100</v>
      </c>
      <c r="E35" t="s">
        <v>10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3">
      <c r="B36" t="s">
        <v>21</v>
      </c>
      <c r="C36">
        <v>392</v>
      </c>
    </row>
    <row r="37" spans="2:36" x14ac:dyDescent="0.3">
      <c r="B37" t="s">
        <v>22</v>
      </c>
      <c r="C37">
        <v>1000</v>
      </c>
      <c r="E37" t="s">
        <v>19</v>
      </c>
      <c r="G37">
        <f>G35+(($C$10*$C$5)/($C$9*$C$8))*((H35-2*G35+F35)/($C$4^2))</f>
        <v>293.3331909667001</v>
      </c>
      <c r="H37">
        <f t="shared" ref="H37:AI37" si="13">H35+(($C$10*$C$5)/($C$9*$C$8))*((I35-2*H35+G35)/($C$4^2))</f>
        <v>286.66651554667806</v>
      </c>
      <c r="I37">
        <f t="shared" si="13"/>
        <v>279.99984104584917</v>
      </c>
      <c r="J37">
        <f t="shared" si="13"/>
        <v>273.33316751198413</v>
      </c>
      <c r="K37">
        <f t="shared" si="13"/>
        <v>266.6664949866896</v>
      </c>
      <c r="L37">
        <f t="shared" si="13"/>
        <v>259.99982350581678</v>
      </c>
      <c r="M37">
        <f t="shared" si="13"/>
        <v>253.33315309838983</v>
      </c>
      <c r="N37">
        <f t="shared" si="13"/>
        <v>246.66648378746618</v>
      </c>
      <c r="O37">
        <f t="shared" si="13"/>
        <v>239.99981558878807</v>
      </c>
      <c r="P37">
        <f t="shared" si="13"/>
        <v>233.33314851204958</v>
      </c>
      <c r="Q37">
        <f t="shared" si="13"/>
        <v>226.66648255934328</v>
      </c>
      <c r="R37">
        <f t="shared" si="13"/>
        <v>219.99981772675176</v>
      </c>
      <c r="S37">
        <f t="shared" si="13"/>
        <v>213.33315400267159</v>
      </c>
      <c r="T37">
        <f t="shared" si="13"/>
        <v>206.66649136966925</v>
      </c>
      <c r="U37">
        <f t="shared" si="13"/>
        <v>199.99982980272742</v>
      </c>
      <c r="V37">
        <f t="shared" si="13"/>
        <v>193.33316927131733</v>
      </c>
      <c r="W37">
        <f t="shared" si="13"/>
        <v>186.66650973762307</v>
      </c>
      <c r="X37">
        <f t="shared" si="13"/>
        <v>179.99985115874716</v>
      </c>
      <c r="Y37">
        <f t="shared" si="13"/>
        <v>173.33319348501465</v>
      </c>
      <c r="Z37">
        <f t="shared" si="13"/>
        <v>166.66653666218261</v>
      </c>
      <c r="AA37">
        <f t="shared" si="13"/>
        <v>159.99988062993441</v>
      </c>
      <c r="AB37">
        <f t="shared" si="13"/>
        <v>153.33322532399561</v>
      </c>
      <c r="AC37">
        <f t="shared" si="13"/>
        <v>146.66657067487716</v>
      </c>
      <c r="AD37">
        <f t="shared" si="13"/>
        <v>139.99991660982707</v>
      </c>
      <c r="AE37">
        <f t="shared" si="13"/>
        <v>133.33326305188297</v>
      </c>
      <c r="AF37">
        <f t="shared" si="13"/>
        <v>126.6666099215694</v>
      </c>
      <c r="AG37">
        <f t="shared" si="13"/>
        <v>119.99995713633172</v>
      </c>
      <c r="AH37">
        <f t="shared" si="13"/>
        <v>113.33330461190064</v>
      </c>
      <c r="AI37">
        <f t="shared" si="13"/>
        <v>106.66665226212751</v>
      </c>
    </row>
    <row r="38" spans="2:36" x14ac:dyDescent="0.3">
      <c r="E38" t="s">
        <v>20</v>
      </c>
      <c r="F38">
        <v>92000</v>
      </c>
      <c r="G38" s="9">
        <f>-$C$10*(G35-F35)/$C$4</f>
        <v>92000.148367380301</v>
      </c>
      <c r="H38" s="9">
        <f t="shared" ref="H38:AI38" si="14">-$C$10*(H35-G35)/$C$4</f>
        <v>92000.135010446495</v>
      </c>
      <c r="I38" s="9">
        <f>-$C$10*(I35-H35)/$C$4</f>
        <v>92000.120832251137</v>
      </c>
      <c r="J38" s="9">
        <f t="shared" si="14"/>
        <v>92000.105919075504</v>
      </c>
      <c r="K38" s="9">
        <f t="shared" si="14"/>
        <v>92000.090361577211</v>
      </c>
      <c r="L38" s="9">
        <f t="shared" si="14"/>
        <v>92000.074254467094</v>
      </c>
      <c r="M38" s="9">
        <f t="shared" si="14"/>
        <v>92000.057695625903</v>
      </c>
      <c r="N38" s="9">
        <f t="shared" si="14"/>
        <v>92000.040785892532</v>
      </c>
      <c r="O38" s="9">
        <f t="shared" si="14"/>
        <v>92000.023627995135</v>
      </c>
      <c r="P38" s="9">
        <f t="shared" si="14"/>
        <v>92000.006326448507</v>
      </c>
      <c r="Q38" s="9">
        <f t="shared" si="14"/>
        <v>91999.988986337674</v>
      </c>
      <c r="R38" s="9">
        <f t="shared" si="14"/>
        <v>91999.971713307372</v>
      </c>
      <c r="S38" s="9">
        <f t="shared" si="14"/>
        <v>91999.954612250047</v>
      </c>
      <c r="T38" s="9">
        <f t="shared" si="14"/>
        <v>91999.937787373769</v>
      </c>
      <c r="U38" s="9">
        <f t="shared" si="14"/>
        <v>91999.921340829766</v>
      </c>
      <c r="V38" s="9">
        <f t="shared" si="14"/>
        <v>91999.905372857189</v>
      </c>
      <c r="W38" s="9">
        <f t="shared" si="14"/>
        <v>91999.88998038607</v>
      </c>
      <c r="X38" s="9">
        <f t="shared" si="14"/>
        <v>91999.875257247098</v>
      </c>
      <c r="Y38" s="9">
        <f t="shared" si="14"/>
        <v>91999.861292802016</v>
      </c>
      <c r="Z38" s="9">
        <f t="shared" si="14"/>
        <v>91999.848172184429</v>
      </c>
      <c r="AA38" s="9">
        <f t="shared" si="14"/>
        <v>91999.835975023161</v>
      </c>
      <c r="AB38" s="9">
        <f t="shared" si="14"/>
        <v>91999.824775684203</v>
      </c>
      <c r="AC38" s="9">
        <f t="shared" si="14"/>
        <v>91999.81464212983</v>
      </c>
      <c r="AD38" s="9">
        <f t="shared" si="14"/>
        <v>91999.805636149511</v>
      </c>
      <c r="AE38" s="9">
        <f t="shared" si="14"/>
        <v>91999.797812391596</v>
      </c>
      <c r="AF38" s="9">
        <f t="shared" si="14"/>
        <v>91999.791218563143</v>
      </c>
      <c r="AG38" s="9">
        <f t="shared" si="14"/>
        <v>91999.785894676199</v>
      </c>
      <c r="AH38" s="9">
        <f t="shared" si="14"/>
        <v>91999.781873193249</v>
      </c>
      <c r="AI38" s="9">
        <f t="shared" si="14"/>
        <v>91999.77917851659</v>
      </c>
    </row>
  </sheetData>
  <conditionalFormatting sqref="F35:AJ3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J35"/>
  <sheetViews>
    <sheetView tabSelected="1" workbookViewId="0">
      <selection activeCell="D8" sqref="D8"/>
    </sheetView>
  </sheetViews>
  <sheetFormatPr defaultRowHeight="14.4" x14ac:dyDescent="0.3"/>
  <sheetData>
    <row r="2" spans="1:36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3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3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3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3">
      <c r="A6" s="10"/>
      <c r="B6" s="11" t="s">
        <v>3</v>
      </c>
      <c r="C6" s="11">
        <v>5000</v>
      </c>
      <c r="D6" s="11">
        <v>5000.43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4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3">
      <c r="A8" s="10"/>
      <c r="B8" s="11" t="s">
        <v>5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3">
      <c r="A9" s="10"/>
      <c r="B9" s="11" t="s">
        <v>6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3">
      <c r="A10" s="10"/>
      <c r="B10" s="11" t="s">
        <v>7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3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3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3">
      <c r="A13" s="10"/>
      <c r="B13" s="11" t="s">
        <v>9</v>
      </c>
      <c r="C13" s="11">
        <v>100</v>
      </c>
      <c r="D13" s="10"/>
      <c r="E13" s="10" t="s">
        <v>10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3">
      <c r="A15" s="10"/>
      <c r="B15" s="10"/>
      <c r="C15" s="10"/>
      <c r="D15" s="10"/>
      <c r="E15" s="10" t="s">
        <v>13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3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3">
      <c r="A21" s="10"/>
      <c r="B21" s="11" t="s">
        <v>18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3">
      <c r="A22" s="10"/>
      <c r="B22" s="11" t="s">
        <v>9</v>
      </c>
      <c r="C22" s="11">
        <v>100</v>
      </c>
      <c r="D22" s="10"/>
      <c r="E22" s="10" t="s">
        <v>10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3">
      <c r="A24" s="10"/>
      <c r="B24" s="10"/>
      <c r="C24" s="10"/>
      <c r="D24" s="10"/>
      <c r="E24" s="10" t="s">
        <v>19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3">
      <c r="A25" s="10"/>
      <c r="B25" s="10"/>
      <c r="C25" s="10"/>
      <c r="D25" s="10"/>
      <c r="E25" s="10" t="s">
        <v>20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3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3">
      <c r="A30" s="10"/>
      <c r="B30" s="11" t="s">
        <v>18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3">
      <c r="A31" s="10"/>
      <c r="B31" s="11" t="s">
        <v>9</v>
      </c>
      <c r="C31" s="11">
        <v>100</v>
      </c>
      <c r="D31" s="10"/>
      <c r="E31" s="10" t="s">
        <v>10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3">
      <c r="A32" s="10"/>
      <c r="B32" s="10" t="s">
        <v>21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3">
      <c r="A33" s="10"/>
      <c r="B33" s="10" t="s">
        <v>22</v>
      </c>
      <c r="C33" s="10">
        <v>1000</v>
      </c>
      <c r="D33" s="10"/>
      <c r="E33" s="10" t="s">
        <v>19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3">
      <c r="A34" s="10"/>
      <c r="B34" s="10"/>
      <c r="C34" s="10"/>
      <c r="D34" s="10"/>
      <c r="E34" s="10" t="s">
        <v>20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2021-05-22T18:01:52Z</dcterms:created>
  <dcterms:modified xsi:type="dcterms:W3CDTF">2021-05-22T18:11:23Z</dcterms:modified>
</cp:coreProperties>
</file>