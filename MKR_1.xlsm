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 activeTab="3"/>
  </bookViews>
  <sheets>
    <sheet name="1 род" sheetId="1" r:id="rId1"/>
    <sheet name="2 род" sheetId="2" r:id="rId2"/>
    <sheet name="3 род" sheetId="3" r:id="rId3"/>
    <sheet name="4 род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" i="4" l="1"/>
  <c r="L14" i="4"/>
  <c r="AJ11" i="4"/>
  <c r="F11" i="4"/>
  <c r="G14" i="4" s="1"/>
  <c r="C3" i="4"/>
  <c r="AI14" i="4" s="1"/>
  <c r="X14" i="3"/>
  <c r="L14" i="3"/>
  <c r="AJ11" i="3"/>
  <c r="F11" i="3"/>
  <c r="G14" i="3" s="1"/>
  <c r="C3" i="3"/>
  <c r="AI14" i="3" s="1"/>
  <c r="Y14" i="2"/>
  <c r="X14" i="2"/>
  <c r="M14" i="2"/>
  <c r="L14" i="2"/>
  <c r="F14" i="2"/>
  <c r="F11" i="2" s="1"/>
  <c r="G14" i="2" s="1"/>
  <c r="AJ11" i="2"/>
  <c r="C3" i="2"/>
  <c r="AI14" i="2" s="1"/>
  <c r="Y14" i="4" l="1"/>
  <c r="M14" i="4"/>
  <c r="O14" i="4"/>
  <c r="AA14" i="4"/>
  <c r="P14" i="4"/>
  <c r="AB14" i="4"/>
  <c r="C4" i="4"/>
  <c r="Q14" i="4"/>
  <c r="AC14" i="4"/>
  <c r="Z14" i="4"/>
  <c r="R14" i="4"/>
  <c r="AD14" i="4"/>
  <c r="S14" i="4"/>
  <c r="AE14" i="4"/>
  <c r="N14" i="4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H14" i="4"/>
  <c r="T14" i="4"/>
  <c r="AF14" i="4"/>
  <c r="I14" i="4"/>
  <c r="U14" i="4"/>
  <c r="AG14" i="4"/>
  <c r="J14" i="4"/>
  <c r="V14" i="4"/>
  <c r="AH14" i="4"/>
  <c r="K14" i="4"/>
  <c r="W14" i="4"/>
  <c r="Y14" i="3"/>
  <c r="N14" i="3"/>
  <c r="O14" i="3"/>
  <c r="P14" i="3"/>
  <c r="Z14" i="3"/>
  <c r="AA14" i="3"/>
  <c r="AB14" i="3"/>
  <c r="C4" i="3"/>
  <c r="Q14" i="3"/>
  <c r="AC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R14" i="3"/>
  <c r="AD14" i="3"/>
  <c r="S14" i="3"/>
  <c r="AE14" i="3"/>
  <c r="M14" i="3"/>
  <c r="H14" i="3"/>
  <c r="T14" i="3"/>
  <c r="AF14" i="3"/>
  <c r="I14" i="3"/>
  <c r="U14" i="3"/>
  <c r="AG14" i="3"/>
  <c r="J14" i="3"/>
  <c r="V14" i="3"/>
  <c r="AH14" i="3"/>
  <c r="K14" i="3"/>
  <c r="W14" i="3"/>
  <c r="N14" i="2"/>
  <c r="Z14" i="2"/>
  <c r="O14" i="2"/>
  <c r="C4" i="2"/>
  <c r="P14" i="2"/>
  <c r="AB14" i="2"/>
  <c r="AA14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Q14" i="2"/>
  <c r="AC14" i="2"/>
  <c r="R14" i="2"/>
  <c r="AD14" i="2"/>
  <c r="S14" i="2"/>
  <c r="AE14" i="2"/>
  <c r="H14" i="2"/>
  <c r="T14" i="2"/>
  <c r="AF14" i="2"/>
  <c r="I14" i="2"/>
  <c r="U14" i="2"/>
  <c r="AG14" i="2"/>
  <c r="J14" i="2"/>
  <c r="V14" i="2"/>
  <c r="AH14" i="2"/>
  <c r="K14" i="2"/>
  <c r="W14" i="2"/>
  <c r="AB13" i="4" l="1"/>
  <c r="P13" i="4"/>
  <c r="AA13" i="4"/>
  <c r="O13" i="4"/>
  <c r="Z13" i="4"/>
  <c r="N13" i="4"/>
  <c r="Y13" i="4"/>
  <c r="M13" i="4"/>
  <c r="S13" i="4"/>
  <c r="AD13" i="4"/>
  <c r="AC13" i="4"/>
  <c r="X13" i="4"/>
  <c r="L13" i="4"/>
  <c r="AI13" i="4"/>
  <c r="W13" i="4"/>
  <c r="K13" i="4"/>
  <c r="G13" i="4"/>
  <c r="R13" i="4"/>
  <c r="AH13" i="4"/>
  <c r="V13" i="4"/>
  <c r="J13" i="4"/>
  <c r="AG13" i="4"/>
  <c r="U13" i="4"/>
  <c r="I13" i="4"/>
  <c r="Q13" i="4"/>
  <c r="AF13" i="4"/>
  <c r="T13" i="4"/>
  <c r="H13" i="4"/>
  <c r="AE13" i="4"/>
  <c r="AB13" i="3"/>
  <c r="P13" i="3"/>
  <c r="AA13" i="3"/>
  <c r="O13" i="3"/>
  <c r="Z13" i="3"/>
  <c r="N13" i="3"/>
  <c r="Y13" i="3"/>
  <c r="M13" i="3"/>
  <c r="X13" i="3"/>
  <c r="L13" i="3"/>
  <c r="AI13" i="3"/>
  <c r="W13" i="3"/>
  <c r="K13" i="3"/>
  <c r="AG13" i="3"/>
  <c r="U13" i="3"/>
  <c r="AH13" i="3"/>
  <c r="V13" i="3"/>
  <c r="J13" i="3"/>
  <c r="I13" i="3"/>
  <c r="AF13" i="3"/>
  <c r="H13" i="3"/>
  <c r="AE13" i="3"/>
  <c r="S13" i="3"/>
  <c r="AD13" i="3"/>
  <c r="AC13" i="3"/>
  <c r="T13" i="3"/>
  <c r="G13" i="3"/>
  <c r="R13" i="3"/>
  <c r="Q13" i="3"/>
  <c r="AC13" i="2"/>
  <c r="Q13" i="2"/>
  <c r="AB13" i="2"/>
  <c r="P13" i="2"/>
  <c r="AA13" i="2"/>
  <c r="O13" i="2"/>
  <c r="Z13" i="2"/>
  <c r="N13" i="2"/>
  <c r="Y13" i="2"/>
  <c r="M13" i="2"/>
  <c r="X13" i="2"/>
  <c r="L13" i="2"/>
  <c r="T13" i="2"/>
  <c r="AE13" i="2"/>
  <c r="AI13" i="2"/>
  <c r="W13" i="2"/>
  <c r="K13" i="2"/>
  <c r="V13" i="2"/>
  <c r="AG13" i="2"/>
  <c r="U13" i="2"/>
  <c r="S13" i="2"/>
  <c r="AH13" i="2"/>
  <c r="J13" i="2"/>
  <c r="I13" i="2"/>
  <c r="AF13" i="2"/>
  <c r="H13" i="2"/>
  <c r="R13" i="2"/>
  <c r="G13" i="2"/>
  <c r="AD13" i="2"/>
  <c r="AJ11" i="1" l="1"/>
  <c r="F11" i="1"/>
  <c r="C3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C4" i="1" l="1"/>
  <c r="AI13" i="1" l="1"/>
  <c r="W13" i="1"/>
  <c r="K13" i="1"/>
  <c r="Y13" i="1"/>
  <c r="AH13" i="1"/>
  <c r="V13" i="1"/>
  <c r="J13" i="1"/>
  <c r="M13" i="1"/>
  <c r="AG13" i="1"/>
  <c r="U13" i="1"/>
  <c r="I13" i="1"/>
  <c r="AF13" i="1"/>
  <c r="T13" i="1"/>
  <c r="H13" i="1"/>
  <c r="R13" i="1"/>
  <c r="X13" i="1"/>
  <c r="AE13" i="1"/>
  <c r="S13" i="1"/>
  <c r="G13" i="1"/>
  <c r="AD13" i="1"/>
  <c r="AC13" i="1"/>
  <c r="Q13" i="1"/>
  <c r="AB13" i="1"/>
  <c r="P13" i="1"/>
  <c r="AA13" i="1"/>
  <c r="O13" i="1"/>
  <c r="N13" i="1"/>
  <c r="L13" i="1"/>
  <c r="Z13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<sst xmlns="http://schemas.openxmlformats.org/spreadsheetml/2006/main" count="53" uniqueCount="16">
  <si>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</si>
  <si>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</si>
  <si>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</si>
  <si>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</si>
  <si>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</si>
  <si>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</si>
  <si>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</si>
  <si>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T_start</t>
  </si>
  <si>
    <t>T</t>
  </si>
  <si>
    <t>T_end</t>
  </si>
  <si>
    <t>T_i</t>
  </si>
  <si>
    <t>q_start</t>
  </si>
  <si>
    <t>q</t>
  </si>
  <si>
    <t>T_gas</t>
  </si>
  <si>
    <t>alpha</t>
  </si>
  <si>
    <t>lambda_air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</si>
</sst>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1-45E9-9F76-CE50755C2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3A-43A4-A38C-62569D19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'[1]3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'[1]3 род'!$F$11:$AJ$11</c:f>
              <c:numCache>
                <c:formatCode>General</c:formatCode>
                <c:ptCount val="31"/>
                <c:pt idx="0">
                  <c:v>117.90322154365064</c:v>
                </c:pt>
                <c:pt idx="1">
                  <c:v>117.07191016374124</c:v>
                </c:pt>
                <c:pt idx="2">
                  <c:v>116.26008853656475</c:v>
                </c:pt>
                <c:pt idx="3">
                  <c:v>115.46778233946264</c:v>
                </c:pt>
                <c:pt idx="4">
                  <c:v>114.69496142404105</c:v>
                </c:pt>
                <c:pt idx="5">
                  <c:v>113.94152570375303</c:v>
                </c:pt>
                <c:pt idx="6">
                  <c:v>113.20732657253386</c:v>
                </c:pt>
                <c:pt idx="7">
                  <c:v>112.49213960697028</c:v>
                </c:pt>
                <c:pt idx="8">
                  <c:v>111.79569937783657</c:v>
                </c:pt>
                <c:pt idx="9">
                  <c:v>111.11766021636133</c:v>
                </c:pt>
                <c:pt idx="10">
                  <c:v>110.45764286764161</c:v>
                </c:pt>
                <c:pt idx="11">
                  <c:v>109.81518512217514</c:v>
                </c:pt>
                <c:pt idx="12">
                  <c:v>109.189798237118</c:v>
                </c:pt>
                <c:pt idx="13">
                  <c:v>108.58090970415985</c:v>
                </c:pt>
                <c:pt idx="14">
                  <c:v>107.98792693487503</c:v>
                </c:pt>
                <c:pt idx="15">
                  <c:v>107.41017480279598</c:v>
                </c:pt>
                <c:pt idx="16">
                  <c:v>106.84696377196019</c:v>
                </c:pt>
                <c:pt idx="17">
                  <c:v>106.29752509796486</c:v>
                </c:pt>
                <c:pt idx="18">
                  <c:v>105.76108038842628</c:v>
                </c:pt>
                <c:pt idx="19">
                  <c:v>105.23677746358254</c:v>
                </c:pt>
                <c:pt idx="20">
                  <c:v>104.72375828223019</c:v>
                </c:pt>
                <c:pt idx="21">
                  <c:v>104.22109844172506</c:v>
                </c:pt>
                <c:pt idx="22">
                  <c:v>103.72787048541602</c:v>
                </c:pt>
                <c:pt idx="23">
                  <c:v>103.24308986549833</c:v>
                </c:pt>
                <c:pt idx="24">
                  <c:v>102.76577086419238</c:v>
                </c:pt>
                <c:pt idx="25">
                  <c:v>102.29488155779615</c:v>
                </c:pt>
                <c:pt idx="26">
                  <c:v>101.82938992399244</c:v>
                </c:pt>
                <c:pt idx="27">
                  <c:v>101.3682299444238</c:v>
                </c:pt>
                <c:pt idx="28">
                  <c:v>100.91033591910457</c:v>
                </c:pt>
                <c:pt idx="29">
                  <c:v>100.45462134595324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8-4562-A675-AA9598CB1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'[1]4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'[1]4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290.36855735593133</c:v>
                </c:pt>
                <c:pt idx="2">
                  <c:v>280.80202719846966</c:v>
                </c:pt>
                <c:pt idx="3">
                  <c:v>271.23549704100805</c:v>
                </c:pt>
                <c:pt idx="4">
                  <c:v>261.86084573762616</c:v>
                </c:pt>
                <c:pt idx="5">
                  <c:v>252.48619443424428</c:v>
                </c:pt>
                <c:pt idx="6">
                  <c:v>243.4219412087196</c:v>
                </c:pt>
                <c:pt idx="7">
                  <c:v>234.35768798319495</c:v>
                </c:pt>
                <c:pt idx="8">
                  <c:v>225.70869612786711</c:v>
                </c:pt>
                <c:pt idx="9">
                  <c:v>217.05970427253925</c:v>
                </c:pt>
                <c:pt idx="10">
                  <c:v>208.91258476230144</c:v>
                </c:pt>
                <c:pt idx="11">
                  <c:v>200.76546525206351</c:v>
                </c:pt>
                <c:pt idx="12">
                  <c:v>193.18479595332246</c:v>
                </c:pt>
                <c:pt idx="13">
                  <c:v>185.60412665458131</c:v>
                </c:pt>
                <c:pt idx="14">
                  <c:v>178.62965158451033</c:v>
                </c:pt>
                <c:pt idx="15">
                  <c:v>171.65517651443929</c:v>
                </c:pt>
                <c:pt idx="16">
                  <c:v>165.30010381633161</c:v>
                </c:pt>
                <c:pt idx="17">
                  <c:v>158.94503111822382</c:v>
                </c:pt>
                <c:pt idx="18">
                  <c:v>153.19549809018022</c:v>
                </c:pt>
                <c:pt idx="19">
                  <c:v>147.44596506213654</c:v>
                </c:pt>
                <c:pt idx="20">
                  <c:v>142.26168630750715</c:v>
                </c:pt>
                <c:pt idx="21">
                  <c:v>137.07740755287767</c:v>
                </c:pt>
                <c:pt idx="22">
                  <c:v>132.39347061433836</c:v>
                </c:pt>
                <c:pt idx="23">
                  <c:v>127.70953367579901</c:v>
                </c:pt>
                <c:pt idx="24">
                  <c:v>123.43925762990781</c:v>
                </c:pt>
                <c:pt idx="25">
                  <c:v>119.16898158401656</c:v>
                </c:pt>
                <c:pt idx="26">
                  <c:v>115.20770992699312</c:v>
                </c:pt>
                <c:pt idx="27">
                  <c:v>111.24643826996959</c:v>
                </c:pt>
                <c:pt idx="28">
                  <c:v>107.47609954808317</c:v>
                </c:pt>
                <c:pt idx="29">
                  <c:v>103.70576082619669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B2-4A14-AC5F-B460A4BC9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179613</xdr:colOff>
      <xdr:row>17</xdr:row>
      <xdr:rowOff>104503</xdr:rowOff>
    </xdr:from>
    <xdr:to>
      <xdr:col>14</xdr:col>
      <xdr:colOff>100691</xdr:colOff>
      <xdr:row>39</xdr:row>
      <xdr:rowOff>22858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190500</xdr:colOff>
      <xdr:row>19</xdr:row>
      <xdr:rowOff>34836</xdr:rowOff>
    </xdr:from>
    <xdr:ext cx="660384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2628900" y="3509556"/>
              <a:ext cx="660384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2628900" y="3509556"/>
              <a:ext cx="660384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139630</xdr:colOff>
      <xdr:row>37</xdr:row>
      <xdr:rowOff>126820</xdr:rowOff>
    </xdr:from>
    <xdr:ext cx="561410" cy="2237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064430" y="6893380"/>
              <a:ext cx="5614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064430" y="6893380"/>
              <a:ext cx="5614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95793</xdr:colOff>
      <xdr:row>17</xdr:row>
      <xdr:rowOff>43543</xdr:rowOff>
    </xdr:from>
    <xdr:to>
      <xdr:col>15</xdr:col>
      <xdr:colOff>16871</xdr:colOff>
      <xdr:row>38</xdr:row>
      <xdr:rowOff>144778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198957</xdr:colOff>
      <xdr:row>18</xdr:row>
      <xdr:rowOff>164376</xdr:rowOff>
    </xdr:from>
    <xdr:ext cx="45636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246957" y="3456216"/>
              <a:ext cx="45636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246957" y="3456216"/>
              <a:ext cx="45636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116770</xdr:colOff>
      <xdr:row>37</xdr:row>
      <xdr:rowOff>58240</xdr:rowOff>
    </xdr:from>
    <xdr:ext cx="46235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651170" y="6824800"/>
              <a:ext cx="46235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651170" y="6824800"/>
              <a:ext cx="46235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95793</xdr:colOff>
      <xdr:row>18</xdr:row>
      <xdr:rowOff>13063</xdr:rowOff>
    </xdr:from>
    <xdr:to>
      <xdr:col>15</xdr:col>
      <xdr:colOff>16871</xdr:colOff>
      <xdr:row>39</xdr:row>
      <xdr:rowOff>114298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237057</xdr:colOff>
      <xdr:row>19</xdr:row>
      <xdr:rowOff>126276</xdr:rowOff>
    </xdr:from>
    <xdr:ext cx="42588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285057" y="3600996"/>
              <a:ext cx="42588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285057" y="3600996"/>
              <a:ext cx="42588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116770</xdr:colOff>
      <xdr:row>38</xdr:row>
      <xdr:rowOff>43000</xdr:rowOff>
    </xdr:from>
    <xdr:ext cx="485210" cy="2237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651170" y="6992440"/>
              <a:ext cx="4852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651170" y="6992440"/>
              <a:ext cx="4852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72933</xdr:colOff>
      <xdr:row>16</xdr:row>
      <xdr:rowOff>134983</xdr:rowOff>
    </xdr:from>
    <xdr:to>
      <xdr:col>14</xdr:col>
      <xdr:colOff>603611</xdr:colOff>
      <xdr:row>38</xdr:row>
      <xdr:rowOff>53338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221817</xdr:colOff>
      <xdr:row>18</xdr:row>
      <xdr:rowOff>34837</xdr:rowOff>
    </xdr:from>
    <xdr:ext cx="43350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338397" y="3326677"/>
              <a:ext cx="43350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338397" y="3326677"/>
              <a:ext cx="43350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71050</xdr:colOff>
      <xdr:row>36</xdr:row>
      <xdr:rowOff>164920</xdr:rowOff>
    </xdr:from>
    <xdr:ext cx="44711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674030" y="6748600"/>
              <a:ext cx="4471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674030" y="6748600"/>
              <a:ext cx="4471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SS_1_Chukhmanov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род"/>
      <sheetName val="2род"/>
      <sheetName val="3 род"/>
      <sheetName val="4 род"/>
    </sheetNames>
    <sheetDataSet>
      <sheetData sheetId="0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300</v>
          </cell>
          <cell r="G11">
            <v>280.34602914679897</v>
          </cell>
          <cell r="H11">
            <v>260.69205829359794</v>
          </cell>
          <cell r="I11">
            <v>241.69187227593491</v>
          </cell>
          <cell r="J11">
            <v>222.69168625827183</v>
          </cell>
          <cell r="K11">
            <v>204.95390631913148</v>
          </cell>
          <cell r="L11">
            <v>187.21612637999107</v>
          </cell>
          <cell r="M11">
            <v>171.26453784334268</v>
          </cell>
          <cell r="N11">
            <v>155.31294930669429</v>
          </cell>
          <cell r="O11">
            <v>141.55671337374599</v>
          </cell>
          <cell r="P11">
            <v>127.80047744079765</v>
          </cell>
          <cell r="Q11">
            <v>116.51671674932982</v>
          </cell>
          <cell r="R11">
            <v>105.23295605786197</v>
          </cell>
          <cell r="S11">
            <v>96.561989352755049</v>
          </cell>
          <cell r="T11">
            <v>87.891022647648128</v>
          </cell>
          <cell r="U11">
            <v>81.842538774051832</v>
          </cell>
          <cell r="V11">
            <v>75.794054900455549</v>
          </cell>
          <cell r="W11">
            <v>72.261187114604226</v>
          </cell>
          <cell r="X11">
            <v>68.728319328752917</v>
          </cell>
          <cell r="Y11">
            <v>67.506108522455037</v>
          </cell>
          <cell r="Z11">
            <v>66.283897716157142</v>
          </cell>
          <cell r="AA11">
            <v>67.088962026000345</v>
          </cell>
          <cell r="AB11">
            <v>67.894026335843549</v>
          </cell>
          <cell r="AC11">
            <v>70.383127200086093</v>
          </cell>
          <cell r="AD11">
            <v>72.872228064328638</v>
          </cell>
          <cell r="AE11">
            <v>76.658491877071754</v>
          </cell>
          <cell r="AF11">
            <v>80.444755689814855</v>
          </cell>
          <cell r="AG11">
            <v>85.111263870845988</v>
          </cell>
          <cell r="AH11">
            <v>89.777772051877108</v>
          </cell>
          <cell r="AI11">
            <v>94.888886025938547</v>
          </cell>
          <cell r="AJ11">
            <v>100</v>
          </cell>
        </row>
      </sheetData>
      <sheetData sheetId="1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68.622579106938403</v>
          </cell>
          <cell r="G11">
            <v>61.955912440271732</v>
          </cell>
          <cell r="H11">
            <v>55.85372945331077</v>
          </cell>
          <cell r="I11">
            <v>50.364250466999231</v>
          </cell>
          <cell r="J11">
            <v>45.389830428497746</v>
          </cell>
          <cell r="K11">
            <v>41.075873342617733</v>
          </cell>
          <cell r="L11">
            <v>37.225859776676351</v>
          </cell>
          <cell r="M11">
            <v>34.084080327235384</v>
          </cell>
          <cell r="N11">
            <v>31.353519217340107</v>
          </cell>
          <cell r="O11">
            <v>29.37852764331652</v>
          </cell>
          <cell r="P11">
            <v>27.761142666822828</v>
          </cell>
          <cell r="Q11">
            <v>26.944233359967292</v>
          </cell>
          <cell r="R11">
            <v>26.431675822450941</v>
          </cell>
          <cell r="S11">
            <v>26.758125876994253</v>
          </cell>
          <cell r="T11">
            <v>27.33754823626882</v>
          </cell>
          <cell r="U11">
            <v>28.782232341294485</v>
          </cell>
          <cell r="V11">
            <v>30.431892466586447</v>
          </cell>
          <cell r="W11">
            <v>32.953435301326735</v>
          </cell>
          <cell r="X11">
            <v>35.636583276491635</v>
          </cell>
          <cell r="Y11">
            <v>39.17081758309692</v>
          </cell>
          <cell r="Z11">
            <v>42.828709626888624</v>
          </cell>
          <cell r="AA11">
            <v>47.282665364806249</v>
          </cell>
          <cell r="AB11">
            <v>51.828023620698403</v>
          </cell>
          <cell r="AC11">
            <v>57.07588581391984</v>
          </cell>
          <cell r="AD11">
            <v>62.38832744874248</v>
          </cell>
          <cell r="AE11">
            <v>68.270667505323729</v>
          </cell>
          <cell r="AF11">
            <v>74.195470880658718</v>
          </cell>
          <cell r="AG11">
            <v>80.522568431961048</v>
          </cell>
          <cell r="AH11">
            <v>86.873628668147461</v>
          </cell>
          <cell r="AI11">
            <v>93.432949248989871</v>
          </cell>
          <cell r="AJ11">
            <v>100</v>
          </cell>
        </row>
      </sheetData>
      <sheetData sheetId="2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117.90322154365064</v>
          </cell>
          <cell r="G11">
            <v>117.07191016374124</v>
          </cell>
          <cell r="H11">
            <v>116.26008853656475</v>
          </cell>
          <cell r="I11">
            <v>115.46778233946264</v>
          </cell>
          <cell r="J11">
            <v>114.69496142404105</v>
          </cell>
          <cell r="K11">
            <v>113.94152570375303</v>
          </cell>
          <cell r="L11">
            <v>113.20732657253386</v>
          </cell>
          <cell r="M11">
            <v>112.49213960697028</v>
          </cell>
          <cell r="N11">
            <v>111.79569937783657</v>
          </cell>
          <cell r="O11">
            <v>111.11766021636133</v>
          </cell>
          <cell r="P11">
            <v>110.45764286764161</v>
          </cell>
          <cell r="Q11">
            <v>109.81518512217514</v>
          </cell>
          <cell r="R11">
            <v>109.189798237118</v>
          </cell>
          <cell r="S11">
            <v>108.58090970415985</v>
          </cell>
          <cell r="T11">
            <v>107.98792693487503</v>
          </cell>
          <cell r="U11">
            <v>107.41017480279598</v>
          </cell>
          <cell r="V11">
            <v>106.84696377196019</v>
          </cell>
          <cell r="W11">
            <v>106.29752509796486</v>
          </cell>
          <cell r="X11">
            <v>105.76108038842628</v>
          </cell>
          <cell r="Y11">
            <v>105.23677746358254</v>
          </cell>
          <cell r="Z11">
            <v>104.72375828223019</v>
          </cell>
          <cell r="AA11">
            <v>104.22109844172506</v>
          </cell>
          <cell r="AB11">
            <v>103.72787048541602</v>
          </cell>
          <cell r="AC11">
            <v>103.24308986549833</v>
          </cell>
          <cell r="AD11">
            <v>102.76577086419238</v>
          </cell>
          <cell r="AE11">
            <v>102.29488155779615</v>
          </cell>
          <cell r="AF11">
            <v>101.82938992399244</v>
          </cell>
          <cell r="AG11">
            <v>101.3682299444238</v>
          </cell>
          <cell r="AH11">
            <v>100.91033591910457</v>
          </cell>
          <cell r="AI11">
            <v>100.45462134595324</v>
          </cell>
          <cell r="AJ11">
            <v>100</v>
          </cell>
        </row>
      </sheetData>
      <sheetData sheetId="3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300</v>
          </cell>
          <cell r="G11">
            <v>290.36855735593133</v>
          </cell>
          <cell r="H11">
            <v>280.80202719846966</v>
          </cell>
          <cell r="I11">
            <v>271.23549704100805</v>
          </cell>
          <cell r="J11">
            <v>261.86084573762616</v>
          </cell>
          <cell r="K11">
            <v>252.48619443424428</v>
          </cell>
          <cell r="L11">
            <v>243.4219412087196</v>
          </cell>
          <cell r="M11">
            <v>234.35768798319495</v>
          </cell>
          <cell r="N11">
            <v>225.70869612786711</v>
          </cell>
          <cell r="O11">
            <v>217.05970427253925</v>
          </cell>
          <cell r="P11">
            <v>208.91258476230144</v>
          </cell>
          <cell r="Q11">
            <v>200.76546525206351</v>
          </cell>
          <cell r="R11">
            <v>193.18479595332246</v>
          </cell>
          <cell r="S11">
            <v>185.60412665458131</v>
          </cell>
          <cell r="T11">
            <v>178.62965158451033</v>
          </cell>
          <cell r="U11">
            <v>171.65517651443929</v>
          </cell>
          <cell r="V11">
            <v>165.30010381633161</v>
          </cell>
          <cell r="W11">
            <v>158.94503111822382</v>
          </cell>
          <cell r="X11">
            <v>153.19549809018022</v>
          </cell>
          <cell r="Y11">
            <v>147.44596506213654</v>
          </cell>
          <cell r="Z11">
            <v>142.26168630750715</v>
          </cell>
          <cell r="AA11">
            <v>137.07740755287767</v>
          </cell>
          <cell r="AB11">
            <v>132.39347061433836</v>
          </cell>
          <cell r="AC11">
            <v>127.70953367579901</v>
          </cell>
          <cell r="AD11">
            <v>123.43925762990781</v>
          </cell>
          <cell r="AE11">
            <v>119.16898158401656</v>
          </cell>
          <cell r="AF11">
            <v>115.20770992699312</v>
          </cell>
          <cell r="AG11">
            <v>111.24643826996959</v>
          </cell>
          <cell r="AH11">
            <v>107.47609954808317</v>
          </cell>
          <cell r="AI11">
            <v>103.70576082619669</v>
          </cell>
          <cell r="AJ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3"/>
  <sheetViews>
    <sheetView workbookViewId="0">
      <selection activeCell="Q32" sqref="Q32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7</v>
      </c>
      <c r="C11" s="1">
        <v>300</v>
      </c>
      <c r="E11" t="s">
        <v>8</v>
      </c>
      <c r="F11">
        <f>C11</f>
        <v>300</v>
      </c>
      <c r="G11">
        <v>287.51358869097902</v>
      </c>
      <c r="H11">
        <v>275.15620856195903</v>
      </c>
      <c r="I11">
        <v>262.7988284329391</v>
      </c>
      <c r="J11">
        <v>250.82258085432088</v>
      </c>
      <c r="K11">
        <v>238.84633327570262</v>
      </c>
      <c r="L11">
        <v>227.48575311382058</v>
      </c>
      <c r="M11">
        <v>216.12517295193848</v>
      </c>
      <c r="N11">
        <v>205.58654882489492</v>
      </c>
      <c r="O11">
        <v>195.04792469785139</v>
      </c>
      <c r="P11">
        <v>185.50008620713913</v>
      </c>
      <c r="Q11">
        <v>175.95224771642688</v>
      </c>
      <c r="R11">
        <v>167.51925615922121</v>
      </c>
      <c r="S11">
        <v>159.08626460201555</v>
      </c>
      <c r="T11">
        <v>151.84231411018106</v>
      </c>
      <c r="U11">
        <v>144.59836361834658</v>
      </c>
      <c r="V11">
        <v>138.5650590530542</v>
      </c>
      <c r="W11">
        <v>132.53175448776182</v>
      </c>
      <c r="X11">
        <v>127.67779454457349</v>
      </c>
      <c r="Y11">
        <v>122.82383460138522</v>
      </c>
      <c r="Z11">
        <v>119.06700530820422</v>
      </c>
      <c r="AA11">
        <v>115.31017601502327</v>
      </c>
      <c r="AB11">
        <v>112.52145954067888</v>
      </c>
      <c r="AC11">
        <v>109.73274306633454</v>
      </c>
      <c r="AD11">
        <v>107.74227361138399</v>
      </c>
      <c r="AE11">
        <v>105.75180415643351</v>
      </c>
      <c r="AF11">
        <v>104.3563564090112</v>
      </c>
      <c r="AG11">
        <v>102.96090866158895</v>
      </c>
      <c r="AH11">
        <v>101.93258089239076</v>
      </c>
      <c r="AI11">
        <v>100.90425312319259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287.57810428097952</v>
      </c>
      <c r="H13">
        <f>H11+(($C$9*$C$4)/($C$8*$C$7))*((I11-2*H11+G11)/($C$3^2))</f>
        <v>275.15620856195903</v>
      </c>
      <c r="I13">
        <f>I11+(($C$9*$C$4)/($C$8*$C$7))*((J11-2*I11+H11)/($C$3^2))</f>
        <v>262.98939470813997</v>
      </c>
      <c r="J13">
        <f t="shared" ref="J13:AI13" si="1">J11+(($C$9*$C$4)/($C$8*$C$7))*((K11-2*J11+I11)/($C$3^2))</f>
        <v>250.82258085432088</v>
      </c>
      <c r="K13">
        <f t="shared" si="1"/>
        <v>239.15416698407074</v>
      </c>
      <c r="L13">
        <f t="shared" si="1"/>
        <v>227.48575311382055</v>
      </c>
      <c r="M13">
        <f t="shared" si="1"/>
        <v>216.53615096935775</v>
      </c>
      <c r="N13">
        <f t="shared" si="1"/>
        <v>205.58654882489492</v>
      </c>
      <c r="O13">
        <f t="shared" si="1"/>
        <v>195.54331751601703</v>
      </c>
      <c r="P13">
        <f t="shared" si="1"/>
        <v>185.50008620713913</v>
      </c>
      <c r="Q13">
        <f t="shared" si="1"/>
        <v>176.50967118318016</v>
      </c>
      <c r="R13">
        <f t="shared" si="1"/>
        <v>167.51925615922121</v>
      </c>
      <c r="S13">
        <f t="shared" si="1"/>
        <v>159.68078513470113</v>
      </c>
      <c r="T13">
        <f t="shared" si="1"/>
        <v>151.84231411018106</v>
      </c>
      <c r="U13">
        <f t="shared" si="1"/>
        <v>145.20368658161763</v>
      </c>
      <c r="V13">
        <f t="shared" si="1"/>
        <v>138.5650590530542</v>
      </c>
      <c r="W13">
        <f t="shared" si="1"/>
        <v>133.12142679881384</v>
      </c>
      <c r="X13">
        <f t="shared" si="1"/>
        <v>127.67779454457352</v>
      </c>
      <c r="Y13">
        <f t="shared" si="1"/>
        <v>123.37239992638885</v>
      </c>
      <c r="Z13">
        <f>Z11+(($C$9*$C$4)/($C$8*$C$7))*((AA11-2*Z11+Y11)/($C$3^2))</f>
        <v>119.06700530820424</v>
      </c>
      <c r="AA13">
        <f t="shared" si="1"/>
        <v>115.79423242444155</v>
      </c>
      <c r="AB13">
        <f t="shared" si="1"/>
        <v>112.5214595406789</v>
      </c>
      <c r="AC13">
        <f t="shared" si="1"/>
        <v>110.13186657603143</v>
      </c>
      <c r="AD13">
        <f t="shared" si="1"/>
        <v>107.74227361138402</v>
      </c>
      <c r="AE13">
        <f t="shared" si="1"/>
        <v>106.0493150101976</v>
      </c>
      <c r="AF13">
        <f t="shared" si="1"/>
        <v>104.35635640901123</v>
      </c>
      <c r="AG13">
        <f t="shared" si="1"/>
        <v>103.14446865070099</v>
      </c>
      <c r="AH13">
        <f t="shared" si="1"/>
        <v>101.93258089239077</v>
      </c>
      <c r="AI13">
        <f t="shared" si="1"/>
        <v>100.96629044619537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J14"/>
  <sheetViews>
    <sheetView zoomScale="70" zoomScaleNormal="70" workbookViewId="0">
      <selection activeCell="U24" sqref="U24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11</v>
      </c>
      <c r="C11" s="1">
        <v>92000</v>
      </c>
      <c r="E11" t="s">
        <v>8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36" x14ac:dyDescent="0.3">
      <c r="E14" t="s">
        <v>12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14"/>
  <sheetViews>
    <sheetView workbookViewId="0">
      <selection activeCell="P39" sqref="P39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1000</v>
      </c>
      <c r="D5">
        <v>1000.4333333333333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(C14*C3*C11+C9*G11)/(C3*C14+C9)</f>
        <v>117.90322154365064</v>
      </c>
      <c r="G11">
        <v>117.07191016374124</v>
      </c>
      <c r="H11">
        <v>116.26008853656475</v>
      </c>
      <c r="I11">
        <v>115.46778233946264</v>
      </c>
      <c r="J11">
        <v>114.69496142404105</v>
      </c>
      <c r="K11">
        <v>113.94152570375303</v>
      </c>
      <c r="L11">
        <v>113.20732657253386</v>
      </c>
      <c r="M11">
        <v>112.49213960697028</v>
      </c>
      <c r="N11">
        <v>111.79569937783657</v>
      </c>
      <c r="O11">
        <v>111.11766021636133</v>
      </c>
      <c r="P11">
        <v>110.45764286764161</v>
      </c>
      <c r="Q11">
        <v>109.81518512217514</v>
      </c>
      <c r="R11">
        <v>109.189798237118</v>
      </c>
      <c r="S11">
        <v>108.58090970415985</v>
      </c>
      <c r="T11">
        <v>107.98792693487503</v>
      </c>
      <c r="U11">
        <v>107.41017480279598</v>
      </c>
      <c r="V11">
        <v>106.84696377196019</v>
      </c>
      <c r="W11">
        <v>106.29752509796486</v>
      </c>
      <c r="X11">
        <v>105.76108038842628</v>
      </c>
      <c r="Y11">
        <v>105.23677746358254</v>
      </c>
      <c r="Z11">
        <v>104.72375828223019</v>
      </c>
      <c r="AA11">
        <v>104.22109844172506</v>
      </c>
      <c r="AB11">
        <v>103.72787048541602</v>
      </c>
      <c r="AC11">
        <v>103.24308986549833</v>
      </c>
      <c r="AD11">
        <v>102.76577086419238</v>
      </c>
      <c r="AE11">
        <v>102.29488155779615</v>
      </c>
      <c r="AF11">
        <v>101.82938992399244</v>
      </c>
      <c r="AG11">
        <v>101.3682299444238</v>
      </c>
      <c r="AH11">
        <v>100.91033591910457</v>
      </c>
      <c r="AI11">
        <v>100.45462134595324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117.08165504010771</v>
      </c>
      <c r="H13">
        <f t="shared" ref="H13:AI13" si="1">H11+(($C$9*$C$4)/($C$8*$C$7))*((I11-2*H11+G11)/($C$3^2))</f>
        <v>116.26984625160193</v>
      </c>
      <c r="I13">
        <f t="shared" si="1"/>
        <v>115.4775249803029</v>
      </c>
      <c r="J13">
        <f t="shared" si="1"/>
        <v>114.70465402160784</v>
      </c>
      <c r="K13">
        <f t="shared" si="1"/>
        <v>113.95114399828745</v>
      </c>
      <c r="L13">
        <f t="shared" si="1"/>
        <v>113.21683265536166</v>
      </c>
      <c r="M13">
        <f t="shared" si="1"/>
        <v>112.50151297518522</v>
      </c>
      <c r="N13">
        <f t="shared" si="1"/>
        <v>111.80489991166581</v>
      </c>
      <c r="O13">
        <f t="shared" si="1"/>
        <v>111.12667112273908</v>
      </c>
      <c r="P13">
        <f t="shared" si="1"/>
        <v>110.46642266926824</v>
      </c>
      <c r="Q13">
        <f t="shared" si="1"/>
        <v>109.8237205523798</v>
      </c>
      <c r="R13">
        <f t="shared" si="1"/>
        <v>109.1980474131675</v>
      </c>
      <c r="S13">
        <f t="shared" si="1"/>
        <v>108.58886258599651</v>
      </c>
      <c r="T13">
        <f t="shared" si="1"/>
        <v>107.99554225347791</v>
      </c>
      <c r="U13">
        <f t="shared" si="1"/>
        <v>107.41744535341761</v>
      </c>
      <c r="V13">
        <f t="shared" si="1"/>
        <v>106.85384995038042</v>
      </c>
      <c r="W13">
        <f t="shared" si="1"/>
        <v>106.30402208019323</v>
      </c>
      <c r="X13">
        <f t="shared" si="1"/>
        <v>105.7671512807737</v>
      </c>
      <c r="Y13">
        <f t="shared" si="1"/>
        <v>105.24241933532824</v>
      </c>
      <c r="Z13">
        <f t="shared" si="1"/>
        <v>104.72893795265381</v>
      </c>
      <c r="AA13">
        <f t="shared" si="1"/>
        <v>104.22581438382311</v>
      </c>
      <c r="AB13">
        <f t="shared" si="1"/>
        <v>103.7320941536117</v>
      </c>
      <c r="AC13">
        <f t="shared" si="1"/>
        <v>103.2468206748042</v>
      </c>
      <c r="AD13">
        <f t="shared" si="1"/>
        <v>102.76898571164725</v>
      </c>
      <c r="AE13">
        <f t="shared" si="1"/>
        <v>102.29758039409241</v>
      </c>
      <c r="AF13">
        <f t="shared" si="1"/>
        <v>101.83155575110997</v>
      </c>
      <c r="AG13">
        <f t="shared" si="1"/>
        <v>101.3698629215485</v>
      </c>
      <c r="AH13">
        <f t="shared" si="1"/>
        <v>100.91142564518853</v>
      </c>
      <c r="AI13">
        <f t="shared" si="1"/>
        <v>100.45516795955228</v>
      </c>
    </row>
    <row r="14" spans="2:36" x14ac:dyDescent="0.3">
      <c r="B14" s="1" t="s">
        <v>14</v>
      </c>
      <c r="C14" s="1">
        <v>63</v>
      </c>
      <c r="E14" t="s">
        <v>12</v>
      </c>
      <c r="G14">
        <f>-$C$9*((G11-F11)/$C$3)</f>
        <v>11472.097042749832</v>
      </c>
      <c r="H14">
        <f t="shared" ref="H14:AI14" si="2">-$C$9*((H11-G11)/$C$3)</f>
        <v>11203.138455035492</v>
      </c>
      <c r="I14">
        <f t="shared" si="2"/>
        <v>10933.825520009075</v>
      </c>
      <c r="J14">
        <f t="shared" si="2"/>
        <v>10664.928632817946</v>
      </c>
      <c r="K14">
        <f t="shared" si="2"/>
        <v>10397.412939974736</v>
      </c>
      <c r="L14">
        <f t="shared" si="2"/>
        <v>10131.948010824559</v>
      </c>
      <c r="M14">
        <f t="shared" si="2"/>
        <v>9869.5801247773343</v>
      </c>
      <c r="N14">
        <f t="shared" si="2"/>
        <v>9610.8751620452495</v>
      </c>
      <c r="O14">
        <f t="shared" si="2"/>
        <v>9356.9404283583171</v>
      </c>
      <c r="P14">
        <f t="shared" si="2"/>
        <v>9108.2394123321301</v>
      </c>
      <c r="Q14">
        <f t="shared" si="2"/>
        <v>8865.9168874373245</v>
      </c>
      <c r="R14">
        <f t="shared" si="2"/>
        <v>8630.3390137885235</v>
      </c>
      <c r="S14">
        <f t="shared" si="2"/>
        <v>8402.6617548224331</v>
      </c>
      <c r="T14">
        <f t="shared" si="2"/>
        <v>8183.1622161304667</v>
      </c>
      <c r="U14">
        <f t="shared" si="2"/>
        <v>7972.9794226909662</v>
      </c>
      <c r="V14">
        <f t="shared" si="2"/>
        <v>7772.3122255338749</v>
      </c>
      <c r="W14">
        <f t="shared" si="2"/>
        <v>7582.2537011354943</v>
      </c>
      <c r="X14">
        <f t="shared" si="2"/>
        <v>7402.9369916324813</v>
      </c>
      <c r="Y14">
        <f t="shared" si="2"/>
        <v>7235.3803628435853</v>
      </c>
      <c r="Z14">
        <f t="shared" si="2"/>
        <v>7079.6647026624041</v>
      </c>
      <c r="AA14">
        <f t="shared" si="2"/>
        <v>6936.7057989708173</v>
      </c>
      <c r="AB14">
        <f t="shared" si="2"/>
        <v>6806.5457970647767</v>
      </c>
      <c r="AC14">
        <f t="shared" si="2"/>
        <v>6689.9725548640645</v>
      </c>
      <c r="AD14">
        <f t="shared" si="2"/>
        <v>6587.0022180222149</v>
      </c>
      <c r="AE14">
        <f t="shared" si="2"/>
        <v>6498.2724282679837</v>
      </c>
      <c r="AF14">
        <f t="shared" si="2"/>
        <v>6423.7845464911743</v>
      </c>
      <c r="AG14">
        <f t="shared" si="2"/>
        <v>6364.0077180471562</v>
      </c>
      <c r="AH14">
        <f t="shared" si="2"/>
        <v>6318.9375494054329</v>
      </c>
      <c r="AI14">
        <f t="shared" si="2"/>
        <v>6288.8611094882972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AJ14"/>
  <sheetViews>
    <sheetView tabSelected="1" topLeftCell="G4" zoomScale="85" zoomScaleNormal="85" workbookViewId="0">
      <selection activeCell="P37" sqref="P37"/>
    </sheetView>
  </sheetViews>
  <sheetFormatPr defaultRowHeight="14.4" x14ac:dyDescent="0.3"/>
  <cols>
    <col min="2" max="2" width="9.8867187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300</v>
      </c>
      <c r="D5">
        <v>300.30000000000007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C11</f>
        <v>300</v>
      </c>
      <c r="G11">
        <v>293.26785968805859</v>
      </c>
      <c r="H11">
        <v>286.53571937611713</v>
      </c>
      <c r="I11">
        <v>279.80644057670645</v>
      </c>
      <c r="J11">
        <v>273.07716177729571</v>
      </c>
      <c r="K11">
        <v>266.35348094110827</v>
      </c>
      <c r="L11">
        <v>259.62980010492078</v>
      </c>
      <c r="M11">
        <v>252.91420902477697</v>
      </c>
      <c r="N11">
        <v>246.19861794463318</v>
      </c>
      <c r="O11">
        <v>239.49325485217321</v>
      </c>
      <c r="P11">
        <v>232.78789175971329</v>
      </c>
      <c r="Q11">
        <v>226.09444787441311</v>
      </c>
      <c r="R11">
        <v>219.40100398911295</v>
      </c>
      <c r="S11">
        <v>212.7206496038807</v>
      </c>
      <c r="T11">
        <v>206.04029521864845</v>
      </c>
      <c r="U11">
        <v>199.37362855241525</v>
      </c>
      <c r="V11">
        <v>192.70696188618206</v>
      </c>
      <c r="W11">
        <v>186.05398293887293</v>
      </c>
      <c r="X11">
        <v>179.40100399156378</v>
      </c>
      <c r="Y11">
        <v>172.76111454411068</v>
      </c>
      <c r="Z11">
        <v>166.12122509665761</v>
      </c>
      <c r="AA11">
        <v>159.49325485605209</v>
      </c>
      <c r="AB11">
        <v>152.8652846154466</v>
      </c>
      <c r="AC11">
        <v>146.24754236216643</v>
      </c>
      <c r="AD11">
        <v>139.62980010888629</v>
      </c>
      <c r="AE11">
        <v>133.02014761130698</v>
      </c>
      <c r="AF11">
        <v>126.41049511372765</v>
      </c>
      <c r="AG11">
        <v>119.80644057910369</v>
      </c>
      <c r="AH11">
        <v>113.20238604447974</v>
      </c>
      <c r="AI11">
        <v>106.60119302223987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293.26785968805859</v>
      </c>
      <c r="H13">
        <f t="shared" ref="H13:AI13" si="1">H11+(($C$9*$C$4)/($C$8*$C$7))*((I11-2*H11+G11)/($C$3^2))</f>
        <v>286.53715013238252</v>
      </c>
      <c r="I13">
        <f t="shared" si="1"/>
        <v>279.80644057670645</v>
      </c>
      <c r="J13">
        <f t="shared" si="1"/>
        <v>273.07996075890736</v>
      </c>
      <c r="K13">
        <f t="shared" si="1"/>
        <v>266.35348094110827</v>
      </c>
      <c r="L13">
        <f t="shared" si="1"/>
        <v>259.63384498294261</v>
      </c>
      <c r="M13">
        <f t="shared" si="1"/>
        <v>252.91420902477699</v>
      </c>
      <c r="N13">
        <f t="shared" si="1"/>
        <v>246.20373193847507</v>
      </c>
      <c r="O13">
        <f t="shared" si="1"/>
        <v>239.49325485217324</v>
      </c>
      <c r="P13">
        <f t="shared" si="1"/>
        <v>232.79385136329316</v>
      </c>
      <c r="Q13">
        <f t="shared" si="1"/>
        <v>226.09444787441311</v>
      </c>
      <c r="R13">
        <f t="shared" si="1"/>
        <v>219.4075487391469</v>
      </c>
      <c r="S13">
        <f t="shared" si="1"/>
        <v>212.7206496038807</v>
      </c>
      <c r="T13">
        <f t="shared" si="1"/>
        <v>206.04713907814798</v>
      </c>
      <c r="U13">
        <f t="shared" si="1"/>
        <v>199.37362855241525</v>
      </c>
      <c r="V13">
        <f t="shared" si="1"/>
        <v>192.71380574564409</v>
      </c>
      <c r="W13">
        <f t="shared" si="1"/>
        <v>186.05398293887293</v>
      </c>
      <c r="X13">
        <f t="shared" si="1"/>
        <v>179.40754874149181</v>
      </c>
      <c r="Y13">
        <f t="shared" si="1"/>
        <v>172.76111454411068</v>
      </c>
      <c r="Z13">
        <f t="shared" si="1"/>
        <v>166.12718470008139</v>
      </c>
      <c r="AA13">
        <f t="shared" si="1"/>
        <v>159.49325485605209</v>
      </c>
      <c r="AB13">
        <f t="shared" si="1"/>
        <v>152.87039860910926</v>
      </c>
      <c r="AC13">
        <f t="shared" si="1"/>
        <v>146.24754236216643</v>
      </c>
      <c r="AD13">
        <f t="shared" si="1"/>
        <v>139.6338449867367</v>
      </c>
      <c r="AE13">
        <f t="shared" si="1"/>
        <v>133.02014761130698</v>
      </c>
      <c r="AF13">
        <f t="shared" si="1"/>
        <v>126.41329409520534</v>
      </c>
      <c r="AG13">
        <f t="shared" si="1"/>
        <v>119.80644057910369</v>
      </c>
      <c r="AH13">
        <f t="shared" si="1"/>
        <v>113.20381680067177</v>
      </c>
      <c r="AI13">
        <f t="shared" si="1"/>
        <v>106.60119302223987</v>
      </c>
    </row>
    <row r="14" spans="2:36" x14ac:dyDescent="0.3">
      <c r="B14" s="1" t="s">
        <v>15</v>
      </c>
      <c r="C14" s="1">
        <v>2.5000000000000001E-2</v>
      </c>
      <c r="E14" t="s">
        <v>12</v>
      </c>
      <c r="G14">
        <f>-$C$9*((G11-F11)/$C$3)</f>
        <v>92903.536304791414</v>
      </c>
      <c r="H14">
        <f t="shared" ref="H14:AI14" si="2">-$C$9*((H11-G11)/$C$3)</f>
        <v>92903.536304792186</v>
      </c>
      <c r="I14">
        <f t="shared" si="2"/>
        <v>92864.047431867351</v>
      </c>
      <c r="J14">
        <f t="shared" si="2"/>
        <v>92864.047431868137</v>
      </c>
      <c r="K14">
        <f t="shared" si="2"/>
        <v>92786.795539386672</v>
      </c>
      <c r="L14">
        <f t="shared" si="2"/>
        <v>92786.795539387458</v>
      </c>
      <c r="M14">
        <f t="shared" si="2"/>
        <v>92675.156905984564</v>
      </c>
      <c r="N14">
        <f t="shared" si="2"/>
        <v>92675.156905984171</v>
      </c>
      <c r="O14">
        <f t="shared" si="2"/>
        <v>92534.010675947662</v>
      </c>
      <c r="P14">
        <f t="shared" si="2"/>
        <v>92534.010675946876</v>
      </c>
      <c r="Q14">
        <f t="shared" si="2"/>
        <v>92369.525617142528</v>
      </c>
      <c r="R14">
        <f t="shared" si="2"/>
        <v>92369.525617142135</v>
      </c>
      <c r="S14">
        <f t="shared" si="2"/>
        <v>92188.890516205021</v>
      </c>
      <c r="T14">
        <f t="shared" si="2"/>
        <v>92188.890516205021</v>
      </c>
      <c r="U14">
        <f t="shared" si="2"/>
        <v>91999.999994018115</v>
      </c>
      <c r="V14">
        <f t="shared" si="2"/>
        <v>91999.999994018115</v>
      </c>
      <c r="W14">
        <f t="shared" si="2"/>
        <v>91811.109472865879</v>
      </c>
      <c r="X14">
        <f t="shared" si="2"/>
        <v>91811.109472866287</v>
      </c>
      <c r="Y14">
        <f t="shared" si="2"/>
        <v>91630.474374852784</v>
      </c>
      <c r="Z14">
        <f t="shared" si="2"/>
        <v>91630.474374852391</v>
      </c>
      <c r="AA14">
        <f t="shared" si="2"/>
        <v>91465.989320356181</v>
      </c>
      <c r="AB14">
        <f t="shared" si="2"/>
        <v>91465.989320355788</v>
      </c>
      <c r="AC14">
        <f t="shared" si="2"/>
        <v>91324.843095266348</v>
      </c>
      <c r="AD14">
        <f t="shared" si="2"/>
        <v>91324.84309526594</v>
      </c>
      <c r="AE14">
        <f t="shared" si="2"/>
        <v>91213.204466594398</v>
      </c>
      <c r="AF14">
        <f t="shared" si="2"/>
        <v>91213.204466594791</v>
      </c>
      <c r="AG14">
        <f t="shared" si="2"/>
        <v>91135.952577810589</v>
      </c>
      <c r="AH14">
        <f t="shared" si="2"/>
        <v>91135.952577810589</v>
      </c>
      <c r="AI14">
        <f t="shared" si="2"/>
        <v>91096.463706910188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 род</vt:lpstr>
      <vt:lpstr>2 род</vt:lpstr>
      <vt:lpstr>3 род</vt:lpstr>
      <vt:lpstr>4 род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111</cp:lastModifiedBy>
  <dcterms:created xsi:type="dcterms:W3CDTF">2021-05-22T19:09:47Z</dcterms:created>
  <dcterms:modified xsi:type="dcterms:W3CDTF">2021-05-23T09:06:41Z</dcterms:modified>
</cp:coreProperties>
</file>