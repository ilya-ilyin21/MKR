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Илья\Downloads\"/>
    </mc:Choice>
  </mc:AlternateContent>
  <bookViews>
    <workbookView xWindow="0" yWindow="0" windowWidth="20490" windowHeight="7185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2" l="1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H16" i="2"/>
  <c r="F16" i="2"/>
  <c r="F13" i="2"/>
  <c r="G16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/>
  <c r="J12" i="1"/>
  <c r="K12" i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AI15" i="2" l="1"/>
  <c r="AE15" i="2"/>
  <c r="AA15" i="2"/>
  <c r="W15" i="2"/>
  <c r="S15" i="2"/>
  <c r="O15" i="2"/>
  <c r="K15" i="2"/>
  <c r="G15" i="2"/>
  <c r="AH15" i="2"/>
  <c r="AD15" i="2"/>
  <c r="Z15" i="2"/>
  <c r="V15" i="2"/>
  <c r="R15" i="2"/>
  <c r="N15" i="2"/>
  <c r="J15" i="2"/>
  <c r="AG15" i="2"/>
  <c r="AC15" i="2"/>
  <c r="Y15" i="2"/>
  <c r="U15" i="2"/>
  <c r="Q15" i="2"/>
  <c r="M15" i="2"/>
  <c r="I15" i="2"/>
  <c r="AF15" i="2"/>
  <c r="AB15" i="2"/>
  <c r="X15" i="2"/>
  <c r="T15" i="2"/>
  <c r="P15" i="2"/>
  <c r="L15" i="2"/>
  <c r="H15" i="2"/>
</calcChain>
</file>

<file path=xl/sharedStrings.xml><?xml version="1.0" encoding="utf-8"?>
<sst xmlns="http://schemas.openxmlformats.org/spreadsheetml/2006/main" count="25" uniqueCount="12">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</sst>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9-4854-91EA-C8193F20F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844000"/>
        <c:axId val="1339847744"/>
      </c:scatterChart>
      <c:valAx>
        <c:axId val="13398440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9847744"/>
        <c:crosses val="autoZero"/>
        <c:crossBetween val="midCat"/>
      </c:valAx>
      <c:valAx>
        <c:axId val="1339847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984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BC-4B92-9538-CFCBBC85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844000"/>
        <c:axId val="1339847744"/>
      </c:scatterChart>
      <c:valAx>
        <c:axId val="13398440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9847744"/>
        <c:crosses val="autoZero"/>
        <c:crossBetween val="midCat"/>
      </c:valAx>
      <c:valAx>
        <c:axId val="1339847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984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17</xdr:row>
      <xdr:rowOff>76200</xdr:rowOff>
    </xdr:from>
    <xdr:to>
      <xdr:col>13</xdr:col>
      <xdr:colOff>247650</xdr:colOff>
      <xdr:row>36</xdr:row>
      <xdr:rowOff>180975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247650</xdr:colOff>
      <xdr:row>17</xdr:row>
      <xdr:rowOff>109537</xdr:rowOff>
    </xdr:from>
    <xdr:ext cx="61991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686050" y="3348037"/>
              <a:ext cx="61991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686050" y="3348037"/>
              <a:ext cx="61991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 (𝐶)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12</xdr:col>
      <xdr:colOff>142875</xdr:colOff>
      <xdr:row>35</xdr:row>
      <xdr:rowOff>42862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7019925" y="6710362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019925" y="6710362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6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17</xdr:row>
      <xdr:rowOff>76200</xdr:rowOff>
    </xdr:from>
    <xdr:to>
      <xdr:col>13</xdr:col>
      <xdr:colOff>247650</xdr:colOff>
      <xdr:row>36</xdr:row>
      <xdr:rowOff>180975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247650</xdr:colOff>
      <xdr:row>17</xdr:row>
      <xdr:rowOff>109537</xdr:rowOff>
    </xdr:from>
    <xdr:ext cx="61991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2686050" y="3348037"/>
              <a:ext cx="61991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2686050" y="3348037"/>
              <a:ext cx="61991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 (𝐶)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12</xdr:col>
      <xdr:colOff>142875</xdr:colOff>
      <xdr:row>35</xdr:row>
      <xdr:rowOff>42862</xdr:rowOff>
    </xdr:from>
    <xdr:ext cx="573747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7019925" y="6710362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7019925" y="6710362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600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3"/>
  <sheetViews>
    <sheetView workbookViewId="0">
      <selection activeCell="T34" sqref="T34"/>
    </sheetView>
  </sheetViews>
  <sheetFormatPr defaultRowHeight="15" x14ac:dyDescent="0.25"/>
  <cols>
    <col min="6" max="6" width="12" bestFit="1" customWidth="1"/>
    <col min="7" max="36" width="7.5703125" bestFit="1" customWidth="1"/>
  </cols>
  <sheetData>
    <row r="1" spans="1:36" x14ac:dyDescent="0.25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B3" s="2" t="s">
        <v>0</v>
      </c>
      <c r="C3" s="2">
        <v>0.1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x14ac:dyDescent="0.25">
      <c r="B4" s="2" t="s">
        <v>1</v>
      </c>
      <c r="C4" s="2">
        <f>C3/30</f>
        <v>3.3333333333333335E-3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25">
      <c r="B5" s="2" t="s">
        <v>2</v>
      </c>
      <c r="C5" s="2">
        <f>(C9*C8*C4^2)/(2*C10)</f>
        <v>0.4333333333333334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25">
      <c r="B6" s="2" t="s">
        <v>3</v>
      </c>
      <c r="C6" s="2">
        <v>500</v>
      </c>
      <c r="D6">
        <v>500.06666666666672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4"/>
      <c r="B7" s="5"/>
      <c r="C7" s="5"/>
      <c r="D7" s="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25">
      <c r="B8" s="2" t="s">
        <v>4</v>
      </c>
      <c r="C8" s="2">
        <v>460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25">
      <c r="B9" s="2" t="s">
        <v>5</v>
      </c>
      <c r="C9" s="2">
        <v>7800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B10" s="2" t="s">
        <v>6</v>
      </c>
      <c r="C10" s="2">
        <v>46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25">
      <c r="A11" s="4"/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4" spans="1:36" x14ac:dyDescent="0.25"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E15" t="s">
        <v>10</v>
      </c>
      <c r="F15" s="1"/>
      <c r="G15" s="1">
        <f>G13+(($C$10*$C$5)/($C$9*$C$8))*((H13-2*G13+F13)/($C$4^2))</f>
        <v>293.32310708172031</v>
      </c>
      <c r="H15" s="1">
        <f t="shared" ref="H15:AI15" si="1">H13+(($C$10*$C$5)/($C$9*$C$8))*((I13-2*H13+G13)/($C$4^2))</f>
        <v>286.64643763157392</v>
      </c>
      <c r="I15" s="1">
        <f t="shared" si="1"/>
        <v>279.96976818142753</v>
      </c>
      <c r="J15" s="1">
        <f t="shared" si="1"/>
        <v>273.29375936905114</v>
      </c>
      <c r="K15" s="1">
        <f t="shared" si="1"/>
        <v>266.61775055667476</v>
      </c>
      <c r="L15" s="1">
        <f t="shared" si="1"/>
        <v>259.94281067866456</v>
      </c>
      <c r="M15" s="1">
        <f t="shared" si="1"/>
        <v>253.26787080065432</v>
      </c>
      <c r="N15" s="1">
        <f t="shared" si="1"/>
        <v>246.59436143604526</v>
      </c>
      <c r="O15" s="1">
        <f t="shared" si="1"/>
        <v>239.9208520714362</v>
      </c>
      <c r="P15" s="1">
        <f t="shared" si="1"/>
        <v>233.2490722789633</v>
      </c>
      <c r="Q15" s="1">
        <f t="shared" si="1"/>
        <v>226.57729248649036</v>
      </c>
      <c r="R15" s="1">
        <f t="shared" si="1"/>
        <v>219.9074657342868</v>
      </c>
      <c r="S15" s="1">
        <f t="shared" si="1"/>
        <v>213.23763898208321</v>
      </c>
      <c r="T15" s="1">
        <f t="shared" si="1"/>
        <v>206.56990338105072</v>
      </c>
      <c r="U15" s="1">
        <f t="shared" si="1"/>
        <v>199.9021677800182</v>
      </c>
      <c r="V15" s="1">
        <f t="shared" si="1"/>
        <v>193.23657004771786</v>
      </c>
      <c r="W15" s="1">
        <f t="shared" si="1"/>
        <v>186.57097231541749</v>
      </c>
      <c r="X15" s="1">
        <f t="shared" si="1"/>
        <v>179.90746573428811</v>
      </c>
      <c r="Y15" s="1">
        <f t="shared" si="1"/>
        <v>173.24395915315873</v>
      </c>
      <c r="Z15" s="1">
        <f t="shared" si="1"/>
        <v>166.58240561229854</v>
      </c>
      <c r="AA15" s="1">
        <f t="shared" si="1"/>
        <v>159.92085207143839</v>
      </c>
      <c r="AB15" s="1">
        <f t="shared" si="1"/>
        <v>153.26102810271419</v>
      </c>
      <c r="AC15" s="1">
        <f t="shared" si="1"/>
        <v>146.60120413398997</v>
      </c>
      <c r="AD15" s="1">
        <f t="shared" si="1"/>
        <v>139.94281067866672</v>
      </c>
      <c r="AE15" s="1">
        <f t="shared" si="1"/>
        <v>133.28441722334344</v>
      </c>
      <c r="AF15" s="1">
        <f t="shared" si="1"/>
        <v>126.62709270238616</v>
      </c>
      <c r="AG15" s="1">
        <f t="shared" si="1"/>
        <v>119.96976818142888</v>
      </c>
      <c r="AH15" s="1">
        <f t="shared" si="1"/>
        <v>113.31310429824151</v>
      </c>
      <c r="AI15" s="1">
        <f t="shared" si="1"/>
        <v>106.65644041505415</v>
      </c>
      <c r="AJ15" s="1"/>
    </row>
    <row r="16" spans="1:36" x14ac:dyDescent="0.25"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6:36" x14ac:dyDescent="0.25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6:36" x14ac:dyDescent="0.25"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6:36" x14ac:dyDescent="0.25"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6:36" x14ac:dyDescent="0.25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6:36" x14ac:dyDescent="0.25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6:36" x14ac:dyDescent="0.25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6:36" x14ac:dyDescent="0.25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</sheetData>
  <conditionalFormatting sqref="F13:AJ13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3"/>
  <sheetViews>
    <sheetView tabSelected="1" workbookViewId="0">
      <selection activeCell="C20" sqref="C20"/>
    </sheetView>
  </sheetViews>
  <sheetFormatPr defaultRowHeight="15" x14ac:dyDescent="0.25"/>
  <sheetData>
    <row r="1" spans="1:36" x14ac:dyDescent="0.25"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B3" s="2" t="s">
        <v>0</v>
      </c>
      <c r="C3" s="2">
        <v>0.1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x14ac:dyDescent="0.25">
      <c r="B4" s="2" t="s">
        <v>1</v>
      </c>
      <c r="C4" s="2">
        <f>C3/30</f>
        <v>3.3333333333333335E-3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25">
      <c r="B5" s="2" t="s">
        <v>2</v>
      </c>
      <c r="C5" s="2">
        <f>(C9*C8*C4^2)/(2*C10)</f>
        <v>0.4333333333333334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25">
      <c r="B6" s="2" t="s">
        <v>3</v>
      </c>
      <c r="C6" s="2">
        <v>5000</v>
      </c>
      <c r="D6">
        <v>5000.2333333333345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4"/>
      <c r="B7" s="5"/>
      <c r="C7" s="5"/>
      <c r="D7" s="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25">
      <c r="B8" s="2" t="s">
        <v>4</v>
      </c>
      <c r="C8" s="2">
        <v>460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25">
      <c r="B9" s="2" t="s">
        <v>5</v>
      </c>
      <c r="C9" s="2">
        <v>7800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B10" s="2" t="s">
        <v>6</v>
      </c>
      <c r="C10" s="2">
        <v>46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25">
      <c r="A11" s="4"/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4" spans="1:36" x14ac:dyDescent="0.25"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E15" t="s">
        <v>10</v>
      </c>
      <c r="F15" s="1"/>
      <c r="G15" s="1">
        <f>G13+(($C$10*$C$5)/($C$9*$C$8))*((H13-2*G13+F13)/($C$4^2))</f>
        <v>293.33331099612423</v>
      </c>
      <c r="H15" s="1">
        <f t="shared" ref="H15:AI15" si="1">H13+(($C$10*$C$5)/($C$9*$C$8))*((I13-2*H13+G13)/($C$4^2))</f>
        <v>286.6666443927748</v>
      </c>
      <c r="I15" s="1">
        <f t="shared" si="1"/>
        <v>279.99997785256312</v>
      </c>
      <c r="J15" s="1">
        <f t="shared" si="1"/>
        <v>273.33331137513079</v>
      </c>
      <c r="K15" s="1">
        <f t="shared" si="1"/>
        <v>266.66664495994132</v>
      </c>
      <c r="L15" s="1">
        <f t="shared" si="1"/>
        <v>259.99997860628196</v>
      </c>
      <c r="M15" s="1">
        <f t="shared" si="1"/>
        <v>253.3333123132654</v>
      </c>
      <c r="N15" s="1">
        <f t="shared" si="1"/>
        <v>246.66664607983253</v>
      </c>
      <c r="O15" s="1">
        <f t="shared" si="1"/>
        <v>239.99997990475524</v>
      </c>
      <c r="P15" s="1">
        <f t="shared" si="1"/>
        <v>233.33331378664016</v>
      </c>
      <c r="Q15" s="1">
        <f t="shared" si="1"/>
        <v>226.66664772393224</v>
      </c>
      <c r="R15" s="1">
        <f t="shared" si="1"/>
        <v>219.99998171491964</v>
      </c>
      <c r="S15" s="1">
        <f t="shared" si="1"/>
        <v>213.33331575773801</v>
      </c>
      <c r="T15" s="1">
        <f t="shared" si="1"/>
        <v>206.66664985037639</v>
      </c>
      <c r="U15" s="1">
        <f t="shared" si="1"/>
        <v>199.9999839906823</v>
      </c>
      <c r="V15" s="1">
        <f t="shared" si="1"/>
        <v>193.33331817636844</v>
      </c>
      <c r="W15" s="1">
        <f t="shared" si="1"/>
        <v>186.66665240501857</v>
      </c>
      <c r="X15" s="1">
        <f t="shared" si="1"/>
        <v>179.99998667409494</v>
      </c>
      <c r="Y15" s="1">
        <f t="shared" si="1"/>
        <v>173.33332098094502</v>
      </c>
      <c r="Z15" s="1">
        <f t="shared" si="1"/>
        <v>166.66665532280928</v>
      </c>
      <c r="AA15" s="1">
        <f t="shared" si="1"/>
        <v>159.99998969682895</v>
      </c>
      <c r="AB15" s="1">
        <f t="shared" si="1"/>
        <v>153.33332410005409</v>
      </c>
      <c r="AC15" s="1">
        <f t="shared" si="1"/>
        <v>146.66665852945192</v>
      </c>
      <c r="AD15" s="1">
        <f t="shared" si="1"/>
        <v>139.99999298191563</v>
      </c>
      <c r="AE15" s="1">
        <f t="shared" si="1"/>
        <v>133.33332745427279</v>
      </c>
      <c r="AF15" s="1">
        <f t="shared" si="1"/>
        <v>126.66666194329484</v>
      </c>
      <c r="AG15" s="1">
        <f t="shared" si="1"/>
        <v>119.99999644570579</v>
      </c>
      <c r="AH15" s="1">
        <f t="shared" si="1"/>
        <v>113.33333095819177</v>
      </c>
      <c r="AI15" s="1">
        <f t="shared" si="1"/>
        <v>106.66666547741035</v>
      </c>
      <c r="AJ15" s="1"/>
    </row>
    <row r="16" spans="1:36" x14ac:dyDescent="0.25">
      <c r="E16" t="s">
        <v>11</v>
      </c>
      <c r="F16" s="1">
        <f>C12</f>
        <v>92000</v>
      </c>
      <c r="G16" s="1">
        <f>-$C$10*((G13-F13)/$C$4)</f>
        <v>92000.000000000247</v>
      </c>
      <c r="H16" s="1">
        <f>-$C$10*((H13-G13)/$C$4)</f>
        <v>91999.999124981885</v>
      </c>
      <c r="I16" s="1">
        <f t="shared" ref="I16:AI16" si="2">-$C$10*((I13-H13)/$C$4)</f>
        <v>91999.998252443896</v>
      </c>
      <c r="J16" s="1">
        <f t="shared" si="2"/>
        <v>91999.997384860442</v>
      </c>
      <c r="K16" s="1">
        <f t="shared" si="2"/>
        <v>91999.996524688366</v>
      </c>
      <c r="L16" s="1">
        <f t="shared" si="2"/>
        <v>91999.995674368853</v>
      </c>
      <c r="M16" s="1">
        <f t="shared" si="2"/>
        <v>91999.994836309721</v>
      </c>
      <c r="N16" s="1">
        <f t="shared" si="2"/>
        <v>91999.994012888623</v>
      </c>
      <c r="O16" s="1">
        <f t="shared" si="2"/>
        <v>91999.993206437299</v>
      </c>
      <c r="P16" s="1">
        <f t="shared" si="2"/>
        <v>91999.992419244736</v>
      </c>
      <c r="Q16" s="1">
        <f t="shared" si="2"/>
        <v>91999.991653538746</v>
      </c>
      <c r="R16" s="1">
        <f t="shared" si="2"/>
        <v>91999.990911493791</v>
      </c>
      <c r="S16" s="1">
        <f t="shared" si="2"/>
        <v>91999.990195209044</v>
      </c>
      <c r="T16" s="1">
        <f t="shared" si="2"/>
        <v>91999.989506719328</v>
      </c>
      <c r="U16" s="1">
        <f t="shared" si="2"/>
        <v>91999.988847971617</v>
      </c>
      <c r="V16" s="1">
        <f t="shared" si="2"/>
        <v>91999.988220837593</v>
      </c>
      <c r="W16" s="1">
        <f t="shared" si="2"/>
        <v>91999.987627091265</v>
      </c>
      <c r="X16" s="1">
        <f t="shared" si="2"/>
        <v>91999.987068418384</v>
      </c>
      <c r="Y16" s="1">
        <f t="shared" si="2"/>
        <v>91999.986546400789</v>
      </c>
      <c r="Z16" s="1">
        <f t="shared" si="2"/>
        <v>91999.986062519471</v>
      </c>
      <c r="AA16" s="1">
        <f t="shared" si="2"/>
        <v>91999.985618145278</v>
      </c>
      <c r="AB16" s="1">
        <f t="shared" si="2"/>
        <v>91999.985214537985</v>
      </c>
      <c r="AC16" s="1">
        <f t="shared" si="2"/>
        <v>91999.984852841313</v>
      </c>
      <c r="AD16" s="1">
        <f t="shared" si="2"/>
        <v>91999.984534081304</v>
      </c>
      <c r="AE16" s="1">
        <f t="shared" si="2"/>
        <v>91999.984259160876</v>
      </c>
      <c r="AF16" s="1">
        <f t="shared" si="2"/>
        <v>91999.984028860315</v>
      </c>
      <c r="AG16" s="1">
        <f t="shared" si="2"/>
        <v>91999.98384383072</v>
      </c>
      <c r="AH16" s="1">
        <f t="shared" si="2"/>
        <v>91999.983704597675</v>
      </c>
      <c r="AI16" s="1">
        <f t="shared" si="2"/>
        <v>91999.983611556323</v>
      </c>
      <c r="AJ16" s="1"/>
    </row>
    <row r="17" spans="6:36" x14ac:dyDescent="0.25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6:36" x14ac:dyDescent="0.25"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6:36" x14ac:dyDescent="0.25"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6:36" x14ac:dyDescent="0.25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6:36" x14ac:dyDescent="0.25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6:36" x14ac:dyDescent="0.25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6:36" x14ac:dyDescent="0.25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</sheetData>
  <conditionalFormatting sqref="F13:AJ13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2021-03-17T06:07:36Z</dcterms:created>
  <dcterms:modified xsi:type="dcterms:W3CDTF">2021-03-17T15:25:30Z</dcterms:modified>
</cp:coreProperties>
</file>